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 PVT\Desktop\PROJECT\Results\"/>
    </mc:Choice>
  </mc:AlternateContent>
  <xr:revisionPtr revIDLastSave="0" documentId="8_{C26C629B-F4A9-4B32-8C8F-EE34EC3C2177}" xr6:coauthVersionLast="47" xr6:coauthVersionMax="47" xr10:uidLastSave="{00000000-0000-0000-0000-000000000000}"/>
  <bookViews>
    <workbookView xWindow="-108" yWindow="-108" windowWidth="23256" windowHeight="12456" firstSheet="3" activeTab="4" xr2:uid="{E023C47C-63F9-4F4E-90D1-85FF81D91415}"/>
  </bookViews>
  <sheets>
    <sheet name="PLS Results" sheetId="1" r:id="rId1"/>
    <sheet name="PLS Predictions" sheetId="2" r:id="rId2"/>
    <sheet name="SVR Results" sheetId="5" r:id="rId3"/>
    <sheet name="SVR Predictions" sheetId="3" r:id="rId4"/>
    <sheet name="Model comparison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E2" i="3" s="1" a="1"/>
  <c r="D2" i="2" a="1"/>
  <c r="D2" i="2" s="1"/>
  <c r="E2" i="2" s="1" a="1"/>
  <c r="E2" i="3" l="1"/>
  <c r="E26" i="3"/>
  <c r="E2" i="2"/>
  <c r="E2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<sst xmlns="http://schemas.openxmlformats.org/spreadsheetml/2006/main" count="51" uniqueCount="37">
  <si>
    <t>Parameter</t>
  </si>
  <si>
    <t>Value</t>
  </si>
  <si>
    <t>Number of samples</t>
  </si>
  <si>
    <t>Training samples</t>
  </si>
  <si>
    <t>Test samples</t>
  </si>
  <si>
    <t>Optimum Latent Variables</t>
  </si>
  <si>
    <t>RMSEP</t>
  </si>
  <si>
    <t>R²</t>
  </si>
  <si>
    <t>Sample</t>
  </si>
  <si>
    <t>Actual</t>
  </si>
  <si>
    <t>Predicted</t>
  </si>
  <si>
    <t>Error</t>
  </si>
  <si>
    <t>Metric</t>
  </si>
  <si>
    <t>PLS</t>
  </si>
  <si>
    <t>SVR</t>
  </si>
  <si>
    <t>Best Model</t>
  </si>
  <si>
    <t>SE</t>
  </si>
  <si>
    <t>Mean Squared Error</t>
  </si>
  <si>
    <t>MEAN SQUARED ERROR</t>
  </si>
  <si>
    <t>Best estimated feasible point (according to models):</t>
  </si>
  <si>
    <t>BoxConstraint</t>
  </si>
  <si>
    <t xml:space="preserve">KernelScale </t>
  </si>
  <si>
    <t xml:space="preserve">Epsilon  </t>
  </si>
  <si>
    <t>Standardize</t>
  </si>
  <si>
    <t>120</t>
  </si>
  <si>
    <t>96</t>
  </si>
  <si>
    <t>24</t>
  </si>
  <si>
    <t>0.5290</t>
  </si>
  <si>
    <t>0.8106</t>
  </si>
  <si>
    <t>MSC_PLS</t>
  </si>
  <si>
    <t>MSC_SVR</t>
  </si>
  <si>
    <t>SG-1-PLS</t>
  </si>
  <si>
    <t>SG-1-SVR</t>
  </si>
  <si>
    <t>SG-2-PLS</t>
  </si>
  <si>
    <t>SNV_PLS</t>
  </si>
  <si>
    <t>SNV_SVR</t>
  </si>
  <si>
    <t>SG-2-SVR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</si>
</sst>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2" borderId="0" xfId="0" applyFill="1"/>
    <xf numFmtId="4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45BC-C5A9-4DCC-A14E-20A9EC02B238}">
  <dimension ref="A1:B7"/>
  <sheetViews>
    <sheetView workbookViewId="0">
      <selection activeCell="K19" sqref="K19"/>
    </sheetView>
  </sheetViews>
  <sheetFormatPr defaultRowHeight="14.4" x14ac:dyDescent="0.3"/>
  <cols>
    <col min="1" max="1" width="25" customWidth="1"/>
    <col min="2" max="2" width="24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120</v>
      </c>
    </row>
    <row r="3" spans="1:2" x14ac:dyDescent="0.3">
      <c r="A3" s="2" t="s">
        <v>3</v>
      </c>
      <c r="B3" s="2">
        <v>96</v>
      </c>
    </row>
    <row r="4" spans="1:2" x14ac:dyDescent="0.3">
      <c r="A4" s="2" t="s">
        <v>4</v>
      </c>
      <c r="B4" s="2">
        <v>24</v>
      </c>
    </row>
    <row r="5" spans="1:2" x14ac:dyDescent="0.3">
      <c r="A5" s="2" t="s">
        <v>5</v>
      </c>
      <c r="B5" s="3">
        <v>10</v>
      </c>
    </row>
    <row r="6" spans="1:2" x14ac:dyDescent="0.3">
      <c r="A6" s="2" t="s">
        <v>6</v>
      </c>
      <c r="B6" s="2">
        <v>0.48949999999999999</v>
      </c>
    </row>
    <row r="7" spans="1:2" x14ac:dyDescent="0.3">
      <c r="A7" s="2" t="s">
        <v>7</v>
      </c>
      <c r="B7" s="2">
        <v>0.83779999999999999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30A5-83EE-4D04-8F8B-66C7BE80B460}">
  <dimension ref="A1:E26"/>
  <sheetViews>
    <sheetView workbookViewId="0">
      <selection activeCell="B1" sqref="B1:B1048576"/>
    </sheetView>
  </sheetViews>
  <sheetFormatPr defaultRowHeight="14.4" x14ac:dyDescent="0.3"/>
  <cols>
    <col min="4" max="4" width="12.21875" bestFit="1" customWidth="1"/>
  </cols>
  <sheetData>
    <row r="1" spans="1:5" ht="28.8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16</v>
      </c>
    </row>
    <row r="2" spans="1:5" x14ac:dyDescent="0.3">
      <c r="A2" s="3">
        <v>1</v>
      </c>
      <c r="B2" s="3">
        <v>5.2864866256713796</v>
      </c>
      <c r="C2" s="3">
        <v>5.4083805819651998</v>
      </c>
      <c r="D2" s="3" cm="1">
        <f t="array" ref="D2:D25">B2:B25-C2:C25</f>
        <v>-0.12189395629382016</v>
      </c>
      <c r="E2" cm="1">
        <f t="array" ref="E2:E25">POWER((D2:D25),2)</f>
        <v>1.485813658095974E-2</v>
      </c>
    </row>
    <row r="3" spans="1:5" x14ac:dyDescent="0.3">
      <c r="A3" s="3">
        <v>2</v>
      </c>
      <c r="B3" s="3">
        <v>5.4946236610412598</v>
      </c>
      <c r="C3" s="3">
        <v>5.4613331878418299</v>
      </c>
      <c r="D3" s="3">
        <v>3.3290473199429904E-2</v>
      </c>
      <c r="E3">
        <v>1.1082556058419606E-3</v>
      </c>
    </row>
    <row r="4" spans="1:5" x14ac:dyDescent="0.3">
      <c r="A4" s="3">
        <v>3</v>
      </c>
      <c r="B4" s="3">
        <v>5.4962644577026296</v>
      </c>
      <c r="C4" s="3">
        <v>5.0166800916928702</v>
      </c>
      <c r="D4" s="3">
        <v>0.4795843660097594</v>
      </c>
      <c r="E4">
        <v>0.23000116412098287</v>
      </c>
    </row>
    <row r="5" spans="1:5" x14ac:dyDescent="0.3">
      <c r="A5" s="3">
        <v>4</v>
      </c>
      <c r="B5">
        <v>5.5697550773620597</v>
      </c>
      <c r="C5">
        <v>5.4127701712893597</v>
      </c>
      <c r="D5">
        <v>0.15698490607269999</v>
      </c>
      <c r="E5">
        <v>2.4644260734654439E-2</v>
      </c>
    </row>
    <row r="6" spans="1:5" x14ac:dyDescent="0.3">
      <c r="A6" s="3">
        <v>5</v>
      </c>
      <c r="B6">
        <v>5.3846154212951598</v>
      </c>
      <c r="C6">
        <v>5.8173537598448704</v>
      </c>
      <c r="D6">
        <v>-0.43273833854971056</v>
      </c>
      <c r="E6">
        <v>0.1872624696507639</v>
      </c>
    </row>
    <row r="7" spans="1:5" x14ac:dyDescent="0.3">
      <c r="A7" s="3">
        <v>6</v>
      </c>
      <c r="B7">
        <v>5.5472102165222097</v>
      </c>
      <c r="C7">
        <v>6.0083142381830497</v>
      </c>
      <c r="D7">
        <v>-0.46110402166083997</v>
      </c>
      <c r="E7">
        <v>0.21261691879180036</v>
      </c>
    </row>
    <row r="8" spans="1:5" x14ac:dyDescent="0.3">
      <c r="A8" s="3">
        <v>7</v>
      </c>
      <c r="B8">
        <v>5.42518854141235</v>
      </c>
      <c r="C8">
        <v>6.1956750467167696</v>
      </c>
      <c r="D8">
        <v>-0.77048650530441964</v>
      </c>
      <c r="E8">
        <v>0.59364945485621745</v>
      </c>
    </row>
    <row r="9" spans="1:5" x14ac:dyDescent="0.3">
      <c r="A9" s="3">
        <v>8</v>
      </c>
      <c r="B9">
        <v>5.4983921051025302</v>
      </c>
      <c r="C9">
        <v>6.1154687463085704</v>
      </c>
      <c r="D9">
        <v>-0.61707664120604022</v>
      </c>
      <c r="E9">
        <v>0.38078358112212812</v>
      </c>
    </row>
    <row r="10" spans="1:5" x14ac:dyDescent="0.3">
      <c r="A10" s="3">
        <v>9</v>
      </c>
      <c r="B10">
        <v>7.8112916946411097</v>
      </c>
      <c r="C10">
        <v>6.95860420579295</v>
      </c>
      <c r="D10">
        <v>0.8526874888481597</v>
      </c>
      <c r="E10">
        <v>0.72707595363818045</v>
      </c>
    </row>
    <row r="11" spans="1:5" x14ac:dyDescent="0.3">
      <c r="A11" s="3">
        <v>10</v>
      </c>
      <c r="B11">
        <v>7.6271185874938903</v>
      </c>
      <c r="C11">
        <v>7.5595705070365602</v>
      </c>
      <c r="D11">
        <v>6.7548080457330073E-2</v>
      </c>
      <c r="E11">
        <v>4.5627431734699365E-3</v>
      </c>
    </row>
    <row r="12" spans="1:5" x14ac:dyDescent="0.3">
      <c r="A12" s="3">
        <v>11</v>
      </c>
      <c r="B12">
        <v>8.3074531555175692</v>
      </c>
      <c r="C12">
        <v>6.9061089829675897</v>
      </c>
      <c r="D12">
        <v>1.4013441725499796</v>
      </c>
      <c r="E12">
        <v>1.9637654899397869</v>
      </c>
    </row>
    <row r="13" spans="1:5" x14ac:dyDescent="0.3">
      <c r="A13" s="3">
        <v>12</v>
      </c>
      <c r="B13">
        <v>7.8173375129699698</v>
      </c>
      <c r="C13">
        <v>7.6040441907589198</v>
      </c>
      <c r="D13">
        <v>0.21329332221105002</v>
      </c>
      <c r="E13">
        <v>4.5494041299826801E-2</v>
      </c>
    </row>
    <row r="14" spans="1:5" x14ac:dyDescent="0.3">
      <c r="A14" s="3">
        <v>13</v>
      </c>
      <c r="B14">
        <v>7.94753074645996</v>
      </c>
      <c r="C14">
        <v>7.8982385144125402</v>
      </c>
      <c r="D14">
        <v>4.9292232047419837E-2</v>
      </c>
      <c r="E14">
        <v>2.4297241402166832E-3</v>
      </c>
    </row>
    <row r="15" spans="1:5" x14ac:dyDescent="0.3">
      <c r="A15" s="3">
        <v>14</v>
      </c>
      <c r="B15">
        <v>7.9254078865051198</v>
      </c>
      <c r="C15">
        <v>7.6145485117555003</v>
      </c>
      <c r="D15">
        <v>0.31085937474961955</v>
      </c>
      <c r="E15">
        <v>9.6633550869724402E-2</v>
      </c>
    </row>
    <row r="16" spans="1:5" x14ac:dyDescent="0.3">
      <c r="A16" s="3">
        <v>15</v>
      </c>
      <c r="B16">
        <v>7.8197827339172301</v>
      </c>
      <c r="C16">
        <v>7.6444795955634302</v>
      </c>
      <c r="D16">
        <v>0.17530313835379996</v>
      </c>
      <c r="E16">
        <v>3.0731190316691529E-2</v>
      </c>
    </row>
    <row r="17" spans="1:5" x14ac:dyDescent="0.3">
      <c r="A17" s="3">
        <v>16</v>
      </c>
      <c r="B17">
        <v>8.2898855209350497</v>
      </c>
      <c r="C17">
        <v>7.7660828229111498</v>
      </c>
      <c r="D17">
        <v>0.52380269802389989</v>
      </c>
      <c r="E17">
        <v>0.27436926645711684</v>
      </c>
    </row>
    <row r="18" spans="1:5" x14ac:dyDescent="0.3">
      <c r="A18" s="3">
        <v>17</v>
      </c>
      <c r="B18">
        <v>7.9110651016235298</v>
      </c>
      <c r="C18">
        <v>8.4321729499550599</v>
      </c>
      <c r="D18">
        <v>-0.52110784833153012</v>
      </c>
      <c r="E18">
        <v>0.27155338959271702</v>
      </c>
    </row>
    <row r="19" spans="1:5" x14ac:dyDescent="0.3">
      <c r="A19" s="3">
        <v>18</v>
      </c>
      <c r="B19">
        <v>8.0813350677490199</v>
      </c>
      <c r="C19">
        <v>8.2009114125029008</v>
      </c>
      <c r="D19">
        <v>-0.1195763447538809</v>
      </c>
      <c r="E19">
        <v>1.4298502224698981E-2</v>
      </c>
    </row>
    <row r="20" spans="1:5" x14ac:dyDescent="0.3">
      <c r="A20" s="3">
        <v>19</v>
      </c>
      <c r="B20">
        <v>8.0501832962036097</v>
      </c>
      <c r="C20">
        <v>8.1243052601870396</v>
      </c>
      <c r="D20">
        <v>-7.412196398342985E-2</v>
      </c>
      <c r="E20">
        <v>5.4940655447608721E-3</v>
      </c>
    </row>
    <row r="21" spans="1:5" x14ac:dyDescent="0.3">
      <c r="A21" s="3">
        <v>20</v>
      </c>
      <c r="B21">
        <v>7.6399788856506303</v>
      </c>
      <c r="C21">
        <v>8.0972935529176393</v>
      </c>
      <c r="D21">
        <v>-0.45731466726700898</v>
      </c>
      <c r="E21">
        <v>0.20913670489753514</v>
      </c>
    </row>
    <row r="22" spans="1:5" x14ac:dyDescent="0.3">
      <c r="A22" s="3">
        <v>21</v>
      </c>
      <c r="B22">
        <v>8.1839437484741193</v>
      </c>
      <c r="C22">
        <v>7.8071361799829297</v>
      </c>
      <c r="D22">
        <v>0.37680756849118957</v>
      </c>
      <c r="E22">
        <v>0.14198394367224251</v>
      </c>
    </row>
    <row r="23" spans="1:5" x14ac:dyDescent="0.3">
      <c r="A23" s="3">
        <v>22</v>
      </c>
      <c r="B23">
        <v>7.9785194396972603</v>
      </c>
      <c r="C23">
        <v>8.3066213011365004</v>
      </c>
      <c r="D23">
        <v>-0.32810186143924014</v>
      </c>
      <c r="E23">
        <v>0.10765083147989433</v>
      </c>
    </row>
    <row r="24" spans="1:5" x14ac:dyDescent="0.3">
      <c r="A24" s="3">
        <v>23</v>
      </c>
      <c r="B24">
        <v>8.4779176712036097</v>
      </c>
      <c r="C24">
        <v>8.0195606232197605</v>
      </c>
      <c r="D24">
        <v>0.45835704798384924</v>
      </c>
      <c r="E24">
        <v>0.21009118343646868</v>
      </c>
    </row>
    <row r="25" spans="1:5" x14ac:dyDescent="0.3">
      <c r="A25" s="3">
        <v>24</v>
      </c>
      <c r="B25">
        <v>8.2302932739257795</v>
      </c>
      <c r="C25">
        <v>8.2573007313818199</v>
      </c>
      <c r="D25">
        <v>-2.7007457456040385E-2</v>
      </c>
      <c r="E25">
        <v>7.2940275823983136E-4</v>
      </c>
    </row>
    <row r="26" spans="1:5" x14ac:dyDescent="0.3">
      <c r="A26" s="15" t="s">
        <v>17</v>
      </c>
      <c r="B26" s="15"/>
      <c r="C26" s="15"/>
      <c r="D26" s="15"/>
      <c r="E26" s="5">
        <f>AVERAGE(_xlfn.ANCHORARRAY(E2))</f>
        <v>0.23962184270437167</v>
      </c>
    </row>
  </sheetData>
  <mergeCells count="1"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AC18-1EF3-451E-A5FC-42C289D38DF2}">
  <dimension ref="A1:C12"/>
  <sheetViews>
    <sheetView workbookViewId="0">
      <selection activeCell="H11" sqref="H11"/>
    </sheetView>
  </sheetViews>
  <sheetFormatPr defaultRowHeight="14.4" x14ac:dyDescent="0.3"/>
  <cols>
    <col min="1" max="1" width="26.77734375" customWidth="1"/>
    <col min="2" max="2" width="30.21875" customWidth="1"/>
  </cols>
  <sheetData>
    <row r="1" spans="1:3" x14ac:dyDescent="0.3">
      <c r="A1" s="9" t="s">
        <v>0</v>
      </c>
      <c r="B1" s="9" t="s">
        <v>1</v>
      </c>
    </row>
    <row r="2" spans="1:3" x14ac:dyDescent="0.3">
      <c r="A2" s="6" t="s">
        <v>2</v>
      </c>
      <c r="B2" s="10" t="s">
        <v>24</v>
      </c>
    </row>
    <row r="3" spans="1:3" x14ac:dyDescent="0.3">
      <c r="A3" s="6" t="s">
        <v>3</v>
      </c>
      <c r="B3" s="10" t="s">
        <v>25</v>
      </c>
    </row>
    <row r="4" spans="1:3" x14ac:dyDescent="0.3">
      <c r="A4" s="6" t="s">
        <v>4</v>
      </c>
      <c r="B4" s="10" t="s">
        <v>26</v>
      </c>
    </row>
    <row r="5" spans="1:3" x14ac:dyDescent="0.3">
      <c r="A5" s="6" t="s">
        <v>6</v>
      </c>
      <c r="B5" s="3">
        <v>0.52900000000000003</v>
      </c>
    </row>
    <row r="6" spans="1:3" x14ac:dyDescent="0.3">
      <c r="A6" s="6" t="s">
        <v>7</v>
      </c>
      <c r="B6" s="3">
        <v>0.81059999999999999</v>
      </c>
    </row>
    <row r="8" spans="1:3" x14ac:dyDescent="0.3">
      <c r="A8" s="15" t="s">
        <v>19</v>
      </c>
      <c r="B8" s="15"/>
      <c r="C8" s="15"/>
    </row>
    <row r="9" spans="1:3" x14ac:dyDescent="0.3">
      <c r="A9" s="7" t="s">
        <v>20</v>
      </c>
      <c r="B9" s="11">
        <v>621.27800000000002</v>
      </c>
    </row>
    <row r="10" spans="1:3" x14ac:dyDescent="0.3">
      <c r="A10" s="7" t="s">
        <v>21</v>
      </c>
      <c r="B10" s="11">
        <v>239.85069550861701</v>
      </c>
    </row>
    <row r="11" spans="1:3" x14ac:dyDescent="0.3">
      <c r="A11" s="7" t="s">
        <v>22</v>
      </c>
      <c r="B11">
        <v>1.303E-2</v>
      </c>
    </row>
    <row r="12" spans="1:3" x14ac:dyDescent="0.3">
      <c r="A12" s="7" t="s">
        <v>23</v>
      </c>
      <c r="B12" s="8" t="b">
        <v>0</v>
      </c>
    </row>
  </sheetData>
  <mergeCells count="1"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003C-31F2-4E91-81CA-F0CBBE0F8014}">
  <dimension ref="A1:E26"/>
  <sheetViews>
    <sheetView workbookViewId="0">
      <selection activeCell="E29" sqref="E29"/>
    </sheetView>
  </sheetViews>
  <sheetFormatPr defaultRowHeight="14.4" x14ac:dyDescent="0.3"/>
  <sheetData>
    <row r="1" spans="1:5" ht="28.8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16</v>
      </c>
    </row>
    <row r="2" spans="1:5" x14ac:dyDescent="0.3">
      <c r="A2">
        <v>1</v>
      </c>
      <c r="B2" s="3">
        <v>5.2864866256713796</v>
      </c>
      <c r="C2">
        <v>5.2340821456393902</v>
      </c>
      <c r="D2" cm="1">
        <f t="array" ref="D2:D25">B2:B25-C2:C25</f>
        <v>5.2404480031989387E-2</v>
      </c>
      <c r="E2" cm="1">
        <f t="array" ref="E2:E25">POWER((D2:D25),2)</f>
        <v>2.7462295274231743E-3</v>
      </c>
    </row>
    <row r="3" spans="1:5" x14ac:dyDescent="0.3">
      <c r="A3">
        <v>2</v>
      </c>
      <c r="B3" s="3">
        <v>5.4946236610412598</v>
      </c>
      <c r="C3">
        <v>6.0784971022008403</v>
      </c>
      <c r="D3">
        <v>-0.58387344115958051</v>
      </c>
      <c r="E3">
        <v>0.3409081952915301</v>
      </c>
    </row>
    <row r="4" spans="1:5" x14ac:dyDescent="0.3">
      <c r="A4">
        <v>3</v>
      </c>
      <c r="B4" s="3">
        <v>5.4962644577026296</v>
      </c>
      <c r="C4">
        <v>5.3506455228698897</v>
      </c>
      <c r="D4">
        <v>0.14561893483273991</v>
      </c>
      <c r="E4">
        <v>2.1204874181821754E-2</v>
      </c>
    </row>
    <row r="5" spans="1:5" x14ac:dyDescent="0.3">
      <c r="A5">
        <v>4</v>
      </c>
      <c r="B5">
        <v>5.5697550773620597</v>
      </c>
      <c r="C5">
        <v>5.37721045991678</v>
      </c>
      <c r="D5">
        <v>0.19254461744527962</v>
      </c>
      <c r="E5">
        <v>3.707342970714908E-2</v>
      </c>
    </row>
    <row r="6" spans="1:5" x14ac:dyDescent="0.3">
      <c r="A6">
        <v>5</v>
      </c>
      <c r="B6">
        <v>5.3846154212951598</v>
      </c>
      <c r="C6">
        <v>6.2525421391365104</v>
      </c>
      <c r="D6">
        <v>-0.86792671784135056</v>
      </c>
      <c r="E6">
        <v>0.75329678754285934</v>
      </c>
    </row>
    <row r="7" spans="1:5" x14ac:dyDescent="0.3">
      <c r="A7">
        <v>6</v>
      </c>
      <c r="B7">
        <v>5.5472102165222097</v>
      </c>
      <c r="C7">
        <v>6.3550346717742796</v>
      </c>
      <c r="D7">
        <v>-0.80782445525206992</v>
      </c>
      <c r="E7">
        <v>0.65258035050330354</v>
      </c>
    </row>
    <row r="8" spans="1:5" x14ac:dyDescent="0.3">
      <c r="A8">
        <v>7</v>
      </c>
      <c r="B8">
        <v>5.42518854141235</v>
      </c>
      <c r="C8">
        <v>6.1488668713402701</v>
      </c>
      <c r="D8">
        <v>-0.72367832992792014</v>
      </c>
      <c r="E8">
        <v>0.52371032520726368</v>
      </c>
    </row>
    <row r="9" spans="1:5" x14ac:dyDescent="0.3">
      <c r="A9">
        <v>8</v>
      </c>
      <c r="B9">
        <v>5.4983921051025302</v>
      </c>
      <c r="C9">
        <v>6.5670770945473702</v>
      </c>
      <c r="D9">
        <v>-1.06868498944484</v>
      </c>
      <c r="E9">
        <v>1.1420876066647179</v>
      </c>
    </row>
    <row r="10" spans="1:5" x14ac:dyDescent="0.3">
      <c r="A10">
        <v>9</v>
      </c>
      <c r="B10">
        <v>7.8112916946411097</v>
      </c>
      <c r="C10">
        <v>7.1644016405820299</v>
      </c>
      <c r="D10">
        <v>0.64689005405907984</v>
      </c>
      <c r="E10">
        <v>0.41846674204055923</v>
      </c>
    </row>
    <row r="11" spans="1:5" x14ac:dyDescent="0.3">
      <c r="A11">
        <v>10</v>
      </c>
      <c r="B11">
        <v>7.6271185874938903</v>
      </c>
      <c r="C11">
        <v>7.57443899728902</v>
      </c>
      <c r="D11">
        <v>5.267959020487023E-2</v>
      </c>
      <c r="E11">
        <v>2.7751392241530596E-3</v>
      </c>
    </row>
    <row r="12" spans="1:5" x14ac:dyDescent="0.3">
      <c r="A12">
        <v>11</v>
      </c>
      <c r="B12">
        <v>8.3074531555175692</v>
      </c>
      <c r="C12">
        <v>6.8496118427385202</v>
      </c>
      <c r="D12">
        <v>1.457841312779049</v>
      </c>
      <c r="E12">
        <v>2.1253012932453412</v>
      </c>
    </row>
    <row r="13" spans="1:5" x14ac:dyDescent="0.3">
      <c r="A13">
        <v>12</v>
      </c>
      <c r="B13">
        <v>7.8173375129699698</v>
      </c>
      <c r="C13">
        <v>7.7543391970025501</v>
      </c>
      <c r="D13">
        <v>6.2998315967419671E-2</v>
      </c>
      <c r="E13">
        <v>3.9687878147308441E-3</v>
      </c>
    </row>
    <row r="14" spans="1:5" x14ac:dyDescent="0.3">
      <c r="A14">
        <v>13</v>
      </c>
      <c r="B14">
        <v>7.94753074645996</v>
      </c>
      <c r="C14">
        <v>8.0041818710994495</v>
      </c>
      <c r="D14">
        <v>-5.6651124639489403E-2</v>
      </c>
      <c r="E14">
        <v>3.2093499229189633E-3</v>
      </c>
    </row>
    <row r="15" spans="1:5" x14ac:dyDescent="0.3">
      <c r="A15">
        <v>14</v>
      </c>
      <c r="B15">
        <v>7.9254078865051198</v>
      </c>
      <c r="C15">
        <v>7.6225866542307097</v>
      </c>
      <c r="D15">
        <v>0.30282123227441016</v>
      </c>
      <c r="E15">
        <v>9.1700698716192269E-2</v>
      </c>
    </row>
    <row r="16" spans="1:5" x14ac:dyDescent="0.3">
      <c r="A16">
        <v>15</v>
      </c>
      <c r="B16">
        <v>7.8197827339172301</v>
      </c>
      <c r="C16">
        <v>7.6580105411532697</v>
      </c>
      <c r="D16">
        <v>0.16177219276396038</v>
      </c>
      <c r="E16">
        <v>2.6170242351659954E-2</v>
      </c>
    </row>
    <row r="17" spans="1:5" x14ac:dyDescent="0.3">
      <c r="A17">
        <v>16</v>
      </c>
      <c r="B17">
        <v>8.2898855209350497</v>
      </c>
      <c r="C17">
        <v>7.9845877543219901</v>
      </c>
      <c r="D17">
        <v>0.30529776661305963</v>
      </c>
      <c r="E17">
        <v>9.3206726298922224E-2</v>
      </c>
    </row>
    <row r="18" spans="1:5" x14ac:dyDescent="0.3">
      <c r="A18">
        <v>17</v>
      </c>
      <c r="B18">
        <v>7.9110651016235298</v>
      </c>
      <c r="C18">
        <v>8.0628108015057602</v>
      </c>
      <c r="D18">
        <v>-0.15174569988223041</v>
      </c>
      <c r="E18">
        <v>2.3026757432747944E-2</v>
      </c>
    </row>
    <row r="19" spans="1:5" x14ac:dyDescent="0.3">
      <c r="A19">
        <v>18</v>
      </c>
      <c r="B19">
        <v>8.0813350677490199</v>
      </c>
      <c r="C19">
        <v>8.1454888736343598</v>
      </c>
      <c r="D19">
        <v>-6.4153805885339921E-2</v>
      </c>
      <c r="E19">
        <v>4.1157108095738748E-3</v>
      </c>
    </row>
    <row r="20" spans="1:5" x14ac:dyDescent="0.3">
      <c r="A20">
        <v>19</v>
      </c>
      <c r="B20">
        <v>8.0501832962036097</v>
      </c>
      <c r="C20">
        <v>8.1835571458799592</v>
      </c>
      <c r="D20">
        <v>-0.13337384967634947</v>
      </c>
      <c r="E20">
        <v>1.7788583777489465E-2</v>
      </c>
    </row>
    <row r="21" spans="1:5" x14ac:dyDescent="0.3">
      <c r="A21">
        <v>20</v>
      </c>
      <c r="B21">
        <v>7.6399788856506303</v>
      </c>
      <c r="C21">
        <v>8.1218948847073396</v>
      </c>
      <c r="D21">
        <v>-0.48191599905670923</v>
      </c>
      <c r="E21">
        <v>0.23224303014682618</v>
      </c>
    </row>
    <row r="22" spans="1:5" x14ac:dyDescent="0.3">
      <c r="A22">
        <v>21</v>
      </c>
      <c r="B22">
        <v>8.1839437484741193</v>
      </c>
      <c r="C22">
        <v>8.05303291308498</v>
      </c>
      <c r="D22">
        <v>0.13091083538913928</v>
      </c>
      <c r="E22">
        <v>1.7137646822282322E-2</v>
      </c>
    </row>
    <row r="23" spans="1:5" x14ac:dyDescent="0.3">
      <c r="A23">
        <v>22</v>
      </c>
      <c r="B23">
        <v>7.9785194396972603</v>
      </c>
      <c r="C23">
        <v>8.1970358030892108</v>
      </c>
      <c r="D23">
        <v>-0.21851636339195046</v>
      </c>
      <c r="E23">
        <v>4.7749401070042947E-2</v>
      </c>
    </row>
    <row r="24" spans="1:5" x14ac:dyDescent="0.3">
      <c r="A24">
        <v>23</v>
      </c>
      <c r="B24">
        <v>8.4779176712036097</v>
      </c>
      <c r="C24">
        <v>8.1288040153172698</v>
      </c>
      <c r="D24">
        <v>0.34911365588633991</v>
      </c>
      <c r="E24">
        <v>0.12188034472632576</v>
      </c>
    </row>
    <row r="25" spans="1:5" x14ac:dyDescent="0.3">
      <c r="A25">
        <v>24</v>
      </c>
      <c r="B25">
        <v>8.2302932739257795</v>
      </c>
      <c r="C25">
        <v>8.1164142288192895</v>
      </c>
      <c r="D25">
        <v>0.11387904510648994</v>
      </c>
      <c r="E25">
        <v>1.296843691436597E-2</v>
      </c>
    </row>
    <row r="26" spans="1:5" x14ac:dyDescent="0.3">
      <c r="A26" s="15" t="s">
        <v>18</v>
      </c>
      <c r="B26" s="15"/>
      <c r="C26" s="15"/>
      <c r="D26" s="15"/>
      <c r="E26" s="5">
        <f>AVERAGE(_xlfn.ANCHORARRAY(E2))</f>
        <v>0.27980486208084165</v>
      </c>
    </row>
  </sheetData>
  <mergeCells count="1">
    <mergeCell ref="A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10E5-EE43-43E7-9A7A-7114E6F67C79}">
  <dimension ref="A1:K4"/>
  <sheetViews>
    <sheetView tabSelected="1" workbookViewId="0">
      <selection activeCell="I4" sqref="I4"/>
    </sheetView>
  </sheetViews>
  <sheetFormatPr defaultColWidth="11.77734375" defaultRowHeight="14.4" x14ac:dyDescent="0.3"/>
  <cols>
    <col min="1" max="1" width="18.77734375" customWidth="1"/>
    <col min="2" max="2" width="12.88671875" customWidth="1"/>
    <col min="3" max="3" width="12.21875" customWidth="1"/>
  </cols>
  <sheetData>
    <row r="1" spans="1:11" x14ac:dyDescent="0.3">
      <c r="A1" s="1" t="s">
        <v>12</v>
      </c>
      <c r="B1" s="4" t="s">
        <v>13</v>
      </c>
      <c r="C1" s="4" t="s">
        <v>14</v>
      </c>
      <c r="D1" s="12" t="s">
        <v>29</v>
      </c>
      <c r="E1" s="12" t="s">
        <v>30</v>
      </c>
      <c r="F1" s="12" t="s">
        <v>31</v>
      </c>
      <c r="G1" s="13" t="s">
        <v>32</v>
      </c>
      <c r="H1" s="12" t="s">
        <v>33</v>
      </c>
      <c r="I1" s="13" t="s">
        <v>36</v>
      </c>
      <c r="J1" s="12" t="s">
        <v>34</v>
      </c>
      <c r="K1" s="12" t="s">
        <v>35</v>
      </c>
    </row>
    <row r="2" spans="1:11" ht="45.6" customHeight="1" x14ac:dyDescent="0.3">
      <c r="A2" s="2" t="s">
        <v>6</v>
      </c>
      <c r="B2" s="2">
        <v>0.48949999999999999</v>
      </c>
      <c r="C2" s="10" t="s">
        <v>27</v>
      </c>
      <c r="D2">
        <v>0.52549999999999997</v>
      </c>
      <c r="E2">
        <v>0.63060000000000005</v>
      </c>
      <c r="F2">
        <v>0.73950000000000005</v>
      </c>
      <c r="G2" s="5">
        <v>1.2413000000000001</v>
      </c>
      <c r="H2">
        <v>0.7923</v>
      </c>
      <c r="I2" s="5">
        <v>1.3048999999999999</v>
      </c>
      <c r="J2">
        <v>0.52510000000000001</v>
      </c>
      <c r="K2">
        <v>0.7288</v>
      </c>
    </row>
    <row r="3" spans="1:11" ht="48" customHeight="1" x14ac:dyDescent="0.3">
      <c r="A3" s="2" t="s">
        <v>7</v>
      </c>
      <c r="B3" s="2">
        <v>0.83779999999999999</v>
      </c>
      <c r="C3" s="10" t="s">
        <v>28</v>
      </c>
      <c r="D3">
        <v>0.81310000000000004</v>
      </c>
      <c r="E3">
        <v>0.73080000000000001</v>
      </c>
      <c r="F3">
        <v>0.67020000000000002</v>
      </c>
      <c r="G3" s="5">
        <v>7.0699999999999999E-2</v>
      </c>
      <c r="H3">
        <v>0.62080000000000002</v>
      </c>
      <c r="I3" s="5">
        <v>-2.69E-2</v>
      </c>
      <c r="J3">
        <v>0.81330000000000002</v>
      </c>
      <c r="K3">
        <v>0.64039999999999997</v>
      </c>
    </row>
    <row r="4" spans="1:11" ht="76.8" customHeight="1" x14ac:dyDescent="0.3">
      <c r="A4" s="14" t="s">
        <v>15</v>
      </c>
      <c r="B4" s="14"/>
      <c r="C4" s="4"/>
    </row>
  </sheetData>
  <mergeCells count="1"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PLS Results</vt:lpstr>
      <vt:lpstr>PLS Predictions</vt:lpstr>
      <vt:lpstr>SVR Results</vt:lpstr>
      <vt:lpstr>SVR Predictions</vt:lpstr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Rishikesh (PG/T - Chemistry &amp; Chem Eng)</dc:creator>
  <cp:lastModifiedBy>Prasad, Rishikesh (PG/T - Chemistry &amp; Chem Eng)</cp:lastModifiedBy>
  <dcterms:created xsi:type="dcterms:W3CDTF">2026-07-18T23:37:21Z</dcterms:created>
  <dcterms:modified xsi:type="dcterms:W3CDTF">2026-08-15T13:33:32Z</dcterms:modified>
</cp:coreProperties>
</file>