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 PVT\Desktop\New folder\NIR\RESULTS\"/>
    </mc:Choice>
  </mc:AlternateContent>
  <xr:revisionPtr revIDLastSave="0" documentId="13_ncr:1_{C34EEE21-F85C-4939-A620-3180C2FC4D48}" xr6:coauthVersionLast="47" xr6:coauthVersionMax="47" xr10:uidLastSave="{00000000-0000-0000-0000-000000000000}"/>
  <bookViews>
    <workbookView xWindow="-36960" yWindow="-765" windowWidth="28800" windowHeight="15285" firstSheet="1" activeTab="4" xr2:uid="{E023C47C-63F9-4F4E-90D1-85FF81D91415}"/>
  </bookViews>
  <sheets>
    <sheet name="PLS Results" sheetId="1" r:id="rId1"/>
    <sheet name="PLS Predictions" sheetId="2" r:id="rId2"/>
    <sheet name="SVR Results" sheetId="5" r:id="rId3"/>
    <sheet name="SVR Predictions" sheetId="3" r:id="rId4"/>
    <sheet name="Model comparis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" i="3" l="1"/>
  <c r="E2" i="3" a="1"/>
  <c r="E2" i="3" s="1"/>
  <c r="D2" i="3" a="1"/>
  <c r="D2" i="3" s="1"/>
  <c r="E64" i="2"/>
  <c r="E2" i="2" a="1"/>
  <c r="E2" i="2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<sst xmlns="http://schemas.openxmlformats.org/spreadsheetml/2006/main" count="45" uniqueCount="30">
  <si>
    <t>Parameter</t>
  </si>
  <si>
    <t>Value</t>
  </si>
  <si>
    <t>Number of samples</t>
  </si>
  <si>
    <t>Training samples</t>
  </si>
  <si>
    <t>Test samples</t>
  </si>
  <si>
    <t>Optimum Latent Variables</t>
  </si>
  <si>
    <t>RMSEP</t>
  </si>
  <si>
    <t>R²</t>
  </si>
  <si>
    <t>Sample</t>
  </si>
  <si>
    <t>Actual</t>
  </si>
  <si>
    <t>Predicted</t>
  </si>
  <si>
    <t>Error</t>
  </si>
  <si>
    <t>Metric</t>
  </si>
  <si>
    <t>PLS</t>
  </si>
  <si>
    <t>SVR</t>
  </si>
  <si>
    <t>SE</t>
  </si>
  <si>
    <t>Mean Squared Error</t>
  </si>
  <si>
    <t>MEAN SQUARED ERROR</t>
  </si>
  <si>
    <t>Best estimated feasible point (according to models):</t>
  </si>
  <si>
    <t>BoxConstraint</t>
  </si>
  <si>
    <t xml:space="preserve">KernelScale </t>
  </si>
  <si>
    <t xml:space="preserve">Epsilon  </t>
  </si>
  <si>
    <t>Standardize</t>
  </si>
  <si>
    <t>MSC_PLS</t>
  </si>
  <si>
    <t>MSC_SVR</t>
  </si>
  <si>
    <t>SG-1-PLS</t>
  </si>
  <si>
    <t>SG-1-SVR</t>
  </si>
  <si>
    <t>SG-2-PLS</t>
  </si>
  <si>
    <t>SNV-PLS</t>
  </si>
  <si>
    <t>SNV-SVR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</si>
</sst>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2" borderId="0" xfId="0" applyFill="1"/>
    <xf numFmtId="4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45BC-C5A9-4DCC-A14E-20A9EC02B238}">
  <dimension ref="A1:B7"/>
  <sheetViews>
    <sheetView workbookViewId="0">
      <selection activeCell="C15" sqref="C15"/>
    </sheetView>
  </sheetViews>
  <sheetFormatPr defaultRowHeight="14.4" x14ac:dyDescent="0.3"/>
  <cols>
    <col min="1" max="1" width="25" customWidth="1"/>
    <col min="2" max="2" width="24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310</v>
      </c>
    </row>
    <row r="3" spans="1:2" x14ac:dyDescent="0.3">
      <c r="A3" s="2" t="s">
        <v>3</v>
      </c>
      <c r="B3" s="2">
        <v>248</v>
      </c>
    </row>
    <row r="4" spans="1:2" x14ac:dyDescent="0.3">
      <c r="A4" s="2" t="s">
        <v>4</v>
      </c>
      <c r="B4" s="2">
        <v>62</v>
      </c>
    </row>
    <row r="5" spans="1:2" x14ac:dyDescent="0.3">
      <c r="A5" s="2" t="s">
        <v>5</v>
      </c>
      <c r="B5" s="3">
        <v>6</v>
      </c>
    </row>
    <row r="6" spans="1:2" x14ac:dyDescent="0.3">
      <c r="A6" s="2" t="s">
        <v>6</v>
      </c>
      <c r="B6" s="2">
        <v>0.37880000000000003</v>
      </c>
    </row>
    <row r="7" spans="1:2" x14ac:dyDescent="0.3">
      <c r="A7" s="2" t="s">
        <v>7</v>
      </c>
      <c r="B7" s="2">
        <v>0.91690000000000005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30A5-83EE-4D04-8F8B-66C7BE80B460}">
  <dimension ref="A1:E64"/>
  <sheetViews>
    <sheetView topLeftCell="A43" workbookViewId="0">
      <selection activeCell="I3" sqref="I3"/>
    </sheetView>
  </sheetViews>
  <sheetFormatPr defaultRowHeight="14.4" x14ac:dyDescent="0.3"/>
  <cols>
    <col min="4" max="4" width="12.21875" bestFit="1" customWidth="1"/>
  </cols>
  <sheetData>
    <row r="1" spans="1:5" ht="28.8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15</v>
      </c>
    </row>
    <row r="2" spans="1:5" x14ac:dyDescent="0.3">
      <c r="A2" s="3">
        <v>1</v>
      </c>
      <c r="B2" s="3">
        <v>4.71508359909057</v>
      </c>
      <c r="C2" s="3">
        <v>5.4582024336611399</v>
      </c>
      <c r="D2" s="3" cm="1">
        <f t="array" ref="D2:D63">B2:B63-C2:C63</f>
        <v>-0.74311883457056993</v>
      </c>
      <c r="E2" cm="1">
        <f t="array" ref="E2:E63">POWER((D2:D63),2)</f>
        <v>0.55222560229352213</v>
      </c>
    </row>
    <row r="3" spans="1:5" x14ac:dyDescent="0.3">
      <c r="A3" s="3">
        <v>2</v>
      </c>
      <c r="B3" s="3">
        <v>5.7294993400573704</v>
      </c>
      <c r="C3" s="3">
        <v>6.0952591348466498</v>
      </c>
      <c r="D3" s="3">
        <v>-0.36575979478927945</v>
      </c>
      <c r="E3">
        <v>0.1337802274842958</v>
      </c>
    </row>
    <row r="4" spans="1:5" x14ac:dyDescent="0.3">
      <c r="A4" s="3">
        <v>3</v>
      </c>
      <c r="B4" s="3">
        <v>5.2365589141845703</v>
      </c>
      <c r="C4" s="3">
        <v>5.2964265182997003</v>
      </c>
      <c r="D4" s="3">
        <v>-5.9867604115130035E-2</v>
      </c>
      <c r="E4">
        <v>3.5841300224859346E-3</v>
      </c>
    </row>
    <row r="5" spans="1:5" x14ac:dyDescent="0.3">
      <c r="A5" s="3">
        <v>4</v>
      </c>
      <c r="B5">
        <v>5.4739084243774396</v>
      </c>
      <c r="C5">
        <v>5.5009847134455399</v>
      </c>
      <c r="D5">
        <v>-2.7076289068100223E-2</v>
      </c>
      <c r="E5">
        <v>7.331254296993237E-4</v>
      </c>
    </row>
    <row r="6" spans="1:5" x14ac:dyDescent="0.3">
      <c r="A6" s="3">
        <v>5</v>
      </c>
      <c r="B6">
        <v>5.3846154212951598</v>
      </c>
      <c r="C6">
        <v>5.3305906265732501</v>
      </c>
      <c r="D6">
        <v>5.4024794721909686E-2</v>
      </c>
      <c r="E6">
        <v>2.9186784447444805E-3</v>
      </c>
    </row>
    <row r="7" spans="1:5" x14ac:dyDescent="0.3">
      <c r="A7" s="3">
        <v>6</v>
      </c>
      <c r="B7">
        <v>5.5472102165222097</v>
      </c>
      <c r="C7">
        <v>5.3879652829922602</v>
      </c>
      <c r="D7">
        <v>0.15924493352994951</v>
      </c>
      <c r="E7">
        <v>2.5358948854958038E-2</v>
      </c>
    </row>
    <row r="8" spans="1:5" x14ac:dyDescent="0.3">
      <c r="A8" s="3">
        <v>7</v>
      </c>
      <c r="B8">
        <v>5.28161525726318</v>
      </c>
      <c r="C8">
        <v>5.3547767298817002</v>
      </c>
      <c r="D8">
        <v>-7.3161472618520129E-2</v>
      </c>
      <c r="E8">
        <v>5.3526010757104702E-3</v>
      </c>
    </row>
    <row r="9" spans="1:5" x14ac:dyDescent="0.3">
      <c r="A9" s="3">
        <v>8</v>
      </c>
      <c r="B9">
        <v>4.7582416534423801</v>
      </c>
      <c r="C9">
        <v>4.7024570038404896</v>
      </c>
      <c r="D9">
        <v>5.5784649601890557E-2</v>
      </c>
      <c r="E9">
        <v>3.1119271312057082E-3</v>
      </c>
    </row>
    <row r="10" spans="1:5" x14ac:dyDescent="0.3">
      <c r="A10" s="3">
        <v>9</v>
      </c>
      <c r="B10">
        <v>4.8527808189392001</v>
      </c>
      <c r="C10">
        <v>4.9797663727983901</v>
      </c>
      <c r="D10">
        <v>-0.12698555385918997</v>
      </c>
      <c r="E10">
        <v>1.6125330888925236E-2</v>
      </c>
    </row>
    <row r="11" spans="1:5" x14ac:dyDescent="0.3">
      <c r="A11" s="3">
        <v>10</v>
      </c>
      <c r="B11">
        <v>4.89640140533447</v>
      </c>
      <c r="C11">
        <v>4.9611667565502096</v>
      </c>
      <c r="D11">
        <v>-6.4765351215739564E-2</v>
      </c>
      <c r="E11">
        <v>4.1945507180980984E-3</v>
      </c>
    </row>
    <row r="12" spans="1:5" x14ac:dyDescent="0.3">
      <c r="A12" s="3">
        <v>11</v>
      </c>
      <c r="B12">
        <v>4.8903508186340297</v>
      </c>
      <c r="C12">
        <v>4.7765853942690102</v>
      </c>
      <c r="D12">
        <v>0.11376542436501946</v>
      </c>
      <c r="E12">
        <v>1.2942571780952964E-2</v>
      </c>
    </row>
    <row r="13" spans="1:5" x14ac:dyDescent="0.3">
      <c r="A13" s="3">
        <v>12</v>
      </c>
      <c r="B13">
        <v>6.0281386375427202</v>
      </c>
      <c r="C13">
        <v>6.02959718084995</v>
      </c>
      <c r="D13">
        <v>-1.4585433072298315E-3</v>
      </c>
      <c r="E13">
        <v>2.1273485790649345E-6</v>
      </c>
    </row>
    <row r="14" spans="1:5" x14ac:dyDescent="0.3">
      <c r="A14" s="3">
        <v>13</v>
      </c>
      <c r="B14">
        <v>6.0765027999877903</v>
      </c>
      <c r="C14">
        <v>5.8909045462837897</v>
      </c>
      <c r="D14">
        <v>0.18559825370400063</v>
      </c>
      <c r="E14">
        <v>3.4446711777974585E-2</v>
      </c>
    </row>
    <row r="15" spans="1:5" x14ac:dyDescent="0.3">
      <c r="A15" s="3">
        <v>14</v>
      </c>
      <c r="B15">
        <v>6.0434784889221103</v>
      </c>
      <c r="C15">
        <v>6.0143631134471196</v>
      </c>
      <c r="D15">
        <v>2.9115375474990657E-2</v>
      </c>
      <c r="E15">
        <v>8.4770508904968747E-4</v>
      </c>
    </row>
    <row r="16" spans="1:5" x14ac:dyDescent="0.3">
      <c r="A16" s="3">
        <v>15</v>
      </c>
      <c r="B16">
        <v>6.1363635063171298</v>
      </c>
      <c r="C16">
        <v>5.9788004926647798</v>
      </c>
      <c r="D16">
        <v>0.15756301365235004</v>
      </c>
      <c r="E16">
        <v>2.4826103271210643E-2</v>
      </c>
    </row>
    <row r="17" spans="1:5" x14ac:dyDescent="0.3">
      <c r="A17" s="3">
        <v>16</v>
      </c>
      <c r="B17">
        <v>8.0824089050292898</v>
      </c>
      <c r="C17">
        <v>7.9813418970164802</v>
      </c>
      <c r="D17">
        <v>0.10106700801280954</v>
      </c>
      <c r="E17">
        <v>1.0214540108661309E-2</v>
      </c>
    </row>
    <row r="18" spans="1:5" x14ac:dyDescent="0.3">
      <c r="A18" s="3">
        <v>17</v>
      </c>
      <c r="B18">
        <v>8.4067249298095703</v>
      </c>
      <c r="C18">
        <v>8.22432671728982</v>
      </c>
      <c r="D18">
        <v>0.1823982125197503</v>
      </c>
      <c r="E18">
        <v>3.3269107930399999E-2</v>
      </c>
    </row>
    <row r="19" spans="1:5" x14ac:dyDescent="0.3">
      <c r="A19" s="3">
        <v>18</v>
      </c>
      <c r="B19">
        <v>7.3692550659179599</v>
      </c>
      <c r="C19">
        <v>7.6317534521969597</v>
      </c>
      <c r="D19">
        <v>-0.2624983862789998</v>
      </c>
      <c r="E19">
        <v>6.8905402799078988E-2</v>
      </c>
    </row>
    <row r="20" spans="1:5" x14ac:dyDescent="0.3">
      <c r="A20" s="3">
        <v>19</v>
      </c>
      <c r="B20">
        <v>8.2474222183227504</v>
      </c>
      <c r="C20">
        <v>8.38100060913332</v>
      </c>
      <c r="D20">
        <v>-0.13357839081056966</v>
      </c>
      <c r="E20">
        <v>1.784318649154128E-2</v>
      </c>
    </row>
    <row r="21" spans="1:5" x14ac:dyDescent="0.3">
      <c r="A21" s="3">
        <v>20</v>
      </c>
      <c r="B21">
        <v>7.9428119659423801</v>
      </c>
      <c r="C21">
        <v>7.6530223612575199</v>
      </c>
      <c r="D21">
        <v>0.28978960468486026</v>
      </c>
      <c r="E21">
        <v>8.3978014983407581E-2</v>
      </c>
    </row>
    <row r="22" spans="1:5" x14ac:dyDescent="0.3">
      <c r="A22" s="3">
        <v>21</v>
      </c>
      <c r="B22">
        <v>8.1016683578491193</v>
      </c>
      <c r="C22">
        <v>7.35960272475858</v>
      </c>
      <c r="D22">
        <v>0.7420656330905393</v>
      </c>
      <c r="E22">
        <v>0.55066140381406292</v>
      </c>
    </row>
    <row r="23" spans="1:5" x14ac:dyDescent="0.3">
      <c r="A23" s="3">
        <v>22</v>
      </c>
      <c r="B23">
        <v>7.36342048645019</v>
      </c>
      <c r="C23">
        <v>7.4243062882848303</v>
      </c>
      <c r="D23">
        <v>-6.0885801834640318E-2</v>
      </c>
      <c r="E23">
        <v>3.7070808650470906E-3</v>
      </c>
    </row>
    <row r="24" spans="1:5" x14ac:dyDescent="0.3">
      <c r="A24" s="3">
        <v>23</v>
      </c>
      <c r="B24">
        <v>7.7464790344238201</v>
      </c>
      <c r="C24">
        <v>7.7943110784943102</v>
      </c>
      <c r="D24">
        <v>-4.7832044070490021E-2</v>
      </c>
      <c r="E24">
        <v>2.2879044399612995E-3</v>
      </c>
    </row>
    <row r="25" spans="1:5" x14ac:dyDescent="0.3">
      <c r="A25" s="3">
        <v>24</v>
      </c>
      <c r="B25">
        <v>7.8461537361145002</v>
      </c>
      <c r="C25">
        <v>7.81002752775054</v>
      </c>
      <c r="D25">
        <v>3.6126208363960188E-2</v>
      </c>
      <c r="E25">
        <v>1.305102930756267E-3</v>
      </c>
    </row>
    <row r="26" spans="1:5" x14ac:dyDescent="0.3">
      <c r="A26" s="3">
        <v>25</v>
      </c>
      <c r="B26">
        <v>8.0336647033691406</v>
      </c>
      <c r="C26">
        <v>7.8486387860729003</v>
      </c>
      <c r="D26">
        <v>0.18502591729624029</v>
      </c>
      <c r="E26">
        <v>3.423459007131515E-2</v>
      </c>
    </row>
    <row r="27" spans="1:5" x14ac:dyDescent="0.3">
      <c r="A27" s="3">
        <v>26</v>
      </c>
      <c r="B27">
        <v>8.1018514633178693</v>
      </c>
      <c r="C27">
        <v>7.6040763696175304</v>
      </c>
      <c r="D27">
        <v>0.4977750937003389</v>
      </c>
      <c r="E27">
        <v>0.24778004390838118</v>
      </c>
    </row>
    <row r="28" spans="1:5" x14ac:dyDescent="0.3">
      <c r="A28" s="3">
        <v>27</v>
      </c>
      <c r="B28">
        <v>7.9131107330322203</v>
      </c>
      <c r="C28">
        <v>7.8604061568359498</v>
      </c>
      <c r="D28">
        <v>5.2704576196270558E-2</v>
      </c>
      <c r="E28">
        <v>2.7777723520284892E-3</v>
      </c>
    </row>
    <row r="29" spans="1:5" x14ac:dyDescent="0.3">
      <c r="A29" s="3">
        <v>28</v>
      </c>
      <c r="B29">
        <v>8.0933847427368093</v>
      </c>
      <c r="C29">
        <v>8.1753877926631304</v>
      </c>
      <c r="D29">
        <v>-8.2003049926321125E-2</v>
      </c>
      <c r="E29">
        <v>6.7245001972187149E-3</v>
      </c>
    </row>
    <row r="30" spans="1:5" x14ac:dyDescent="0.3">
      <c r="A30" s="3">
        <v>29</v>
      </c>
      <c r="B30">
        <v>7.9192547798156703</v>
      </c>
      <c r="C30">
        <v>8.1527414992098599</v>
      </c>
      <c r="D30">
        <v>-0.23348671939418963</v>
      </c>
      <c r="E30">
        <v>5.4516048133461052E-2</v>
      </c>
    </row>
    <row r="31" spans="1:5" x14ac:dyDescent="0.3">
      <c r="A31" s="3">
        <v>30</v>
      </c>
      <c r="B31">
        <v>8.0956048965454102</v>
      </c>
      <c r="C31">
        <v>8.0184170377565493</v>
      </c>
      <c r="D31">
        <v>7.7187858788860808E-2</v>
      </c>
      <c r="E31">
        <v>5.9579655444091167E-3</v>
      </c>
    </row>
    <row r="32" spans="1:5" x14ac:dyDescent="0.3">
      <c r="A32" s="3">
        <v>31</v>
      </c>
      <c r="B32">
        <v>8.0398159027099592</v>
      </c>
      <c r="C32">
        <v>8.1956018856179398</v>
      </c>
      <c r="D32">
        <v>-0.15578598290798062</v>
      </c>
      <c r="E32">
        <v>2.4269272470605632E-2</v>
      </c>
    </row>
    <row r="33" spans="1:5" x14ac:dyDescent="0.3">
      <c r="A33" s="3">
        <v>32</v>
      </c>
      <c r="B33">
        <v>6.6562256813049299</v>
      </c>
      <c r="C33">
        <v>7.2829635277261104</v>
      </c>
      <c r="D33">
        <v>-0.62673784642118058</v>
      </c>
      <c r="E33">
        <v>0.39280032813665933</v>
      </c>
    </row>
    <row r="34" spans="1:5" x14ac:dyDescent="0.3">
      <c r="A34" s="3">
        <v>33</v>
      </c>
      <c r="B34">
        <v>6.8021893501281703</v>
      </c>
      <c r="C34">
        <v>7.3945204725931104</v>
      </c>
      <c r="D34">
        <v>-0.59233112246494013</v>
      </c>
      <c r="E34">
        <v>0.3508561586405759</v>
      </c>
    </row>
    <row r="35" spans="1:5" x14ac:dyDescent="0.3">
      <c r="A35" s="3">
        <v>34</v>
      </c>
      <c r="B35">
        <v>6.7524113655090297</v>
      </c>
      <c r="C35">
        <v>7.4108020268145296</v>
      </c>
      <c r="D35">
        <v>-0.65839066130549995</v>
      </c>
      <c r="E35">
        <v>0.43347826289429353</v>
      </c>
    </row>
    <row r="36" spans="1:5" x14ac:dyDescent="0.3">
      <c r="A36" s="3">
        <v>35</v>
      </c>
      <c r="B36">
        <v>6.8237204551696697</v>
      </c>
      <c r="C36">
        <v>7.4419916719529802</v>
      </c>
      <c r="D36">
        <v>-0.61827121678331043</v>
      </c>
      <c r="E36">
        <v>0.38225929750271526</v>
      </c>
    </row>
    <row r="37" spans="1:5" x14ac:dyDescent="0.3">
      <c r="A37" s="3">
        <v>36</v>
      </c>
      <c r="B37">
        <v>8.59437751770019</v>
      </c>
      <c r="C37">
        <v>8.2517398308307808</v>
      </c>
      <c r="D37">
        <v>0.34263768686940921</v>
      </c>
      <c r="E37">
        <v>0.11740058446321931</v>
      </c>
    </row>
    <row r="38" spans="1:5" x14ac:dyDescent="0.3">
      <c r="A38" s="3">
        <v>37</v>
      </c>
      <c r="B38">
        <v>8.4814214706420898</v>
      </c>
      <c r="C38">
        <v>8.1932739003054493</v>
      </c>
      <c r="D38">
        <v>0.28814757033664051</v>
      </c>
      <c r="E38">
        <v>8.3029022290909194E-2</v>
      </c>
    </row>
    <row r="39" spans="1:5" x14ac:dyDescent="0.3">
      <c r="A39" s="3">
        <v>38</v>
      </c>
      <c r="B39">
        <v>9.7861843109130806</v>
      </c>
      <c r="C39">
        <v>8.6668610749763406</v>
      </c>
      <c r="D39">
        <v>1.11932323593674</v>
      </c>
      <c r="E39">
        <v>1.2528845065078948</v>
      </c>
    </row>
    <row r="40" spans="1:5" x14ac:dyDescent="0.3">
      <c r="A40" s="3">
        <v>39</v>
      </c>
      <c r="B40">
        <v>9.10505867004394</v>
      </c>
      <c r="C40">
        <v>8.4700999538572894</v>
      </c>
      <c r="D40">
        <v>0.63495871618665056</v>
      </c>
      <c r="E40">
        <v>0.40317257126139944</v>
      </c>
    </row>
    <row r="41" spans="1:5" x14ac:dyDescent="0.3">
      <c r="A41" s="3">
        <v>40</v>
      </c>
      <c r="B41">
        <v>9.0982284545898402</v>
      </c>
      <c r="C41">
        <v>8.3436655140117306</v>
      </c>
      <c r="D41">
        <v>0.75456294057810958</v>
      </c>
      <c r="E41">
        <v>0.56936523129388372</v>
      </c>
    </row>
    <row r="42" spans="1:5" x14ac:dyDescent="0.3">
      <c r="A42" s="3">
        <v>41</v>
      </c>
      <c r="B42">
        <v>8.0897703170776296</v>
      </c>
      <c r="C42">
        <v>7.3007964998409101</v>
      </c>
      <c r="D42">
        <v>0.78897381723671955</v>
      </c>
      <c r="E42">
        <v>0.6224796842850806</v>
      </c>
    </row>
    <row r="43" spans="1:5" x14ac:dyDescent="0.3">
      <c r="A43" s="3">
        <v>42</v>
      </c>
      <c r="B43">
        <v>6.9296374320983798</v>
      </c>
      <c r="C43">
        <v>7.11085973296702</v>
      </c>
      <c r="D43">
        <v>-0.18122230086864022</v>
      </c>
      <c r="E43">
        <v>3.2841522332123958E-2</v>
      </c>
    </row>
    <row r="44" spans="1:5" x14ac:dyDescent="0.3">
      <c r="A44" s="3">
        <v>43</v>
      </c>
      <c r="B44">
        <v>8.0041580200195295</v>
      </c>
      <c r="C44">
        <v>7.2709898316373902</v>
      </c>
      <c r="D44">
        <v>0.73316818838213926</v>
      </c>
      <c r="E44">
        <v>0.53753559245554805</v>
      </c>
    </row>
    <row r="45" spans="1:5" x14ac:dyDescent="0.3">
      <c r="A45" s="3">
        <v>44</v>
      </c>
      <c r="B45">
        <v>8.2858619689941406</v>
      </c>
      <c r="C45">
        <v>8.1179565397067996</v>
      </c>
      <c r="D45">
        <v>0.16790542928734098</v>
      </c>
      <c r="E45">
        <v>2.8192233184166263E-2</v>
      </c>
    </row>
    <row r="46" spans="1:5" x14ac:dyDescent="0.3">
      <c r="A46" s="3">
        <v>45</v>
      </c>
      <c r="B46">
        <v>8.0813350677490199</v>
      </c>
      <c r="C46">
        <v>8.4067954058851608</v>
      </c>
      <c r="D46">
        <v>-0.32546033813614095</v>
      </c>
      <c r="E46">
        <v>0.10592443169969121</v>
      </c>
    </row>
    <row r="47" spans="1:5" x14ac:dyDescent="0.3">
      <c r="A47" s="3">
        <v>46</v>
      </c>
      <c r="B47">
        <v>8.0501832962036097</v>
      </c>
      <c r="C47">
        <v>8.0288800525345003</v>
      </c>
      <c r="D47">
        <v>2.1303243669109406E-2</v>
      </c>
      <c r="E47">
        <v>4.5382819082544998E-4</v>
      </c>
    </row>
    <row r="48" spans="1:5" x14ac:dyDescent="0.3">
      <c r="A48" s="3">
        <v>47</v>
      </c>
      <c r="B48">
        <v>8.0104713439941406</v>
      </c>
      <c r="C48">
        <v>8.1240854696804199</v>
      </c>
      <c r="D48">
        <v>-0.11361412568627927</v>
      </c>
      <c r="E48">
        <v>1.2908169555457661E-2</v>
      </c>
    </row>
    <row r="49" spans="1:5" x14ac:dyDescent="0.3">
      <c r="A49" s="3">
        <v>48</v>
      </c>
      <c r="B49">
        <v>7.7523412704467702</v>
      </c>
      <c r="C49">
        <v>7.8819323356906201</v>
      </c>
      <c r="D49">
        <v>-0.12959106524384989</v>
      </c>
      <c r="E49">
        <v>1.6793844191035759E-2</v>
      </c>
    </row>
    <row r="50" spans="1:5" x14ac:dyDescent="0.3">
      <c r="A50" s="3">
        <v>49</v>
      </c>
      <c r="B50">
        <v>8.0062789916992099</v>
      </c>
      <c r="C50">
        <v>8.5231529212634207</v>
      </c>
      <c r="D50">
        <v>-0.51687392956421085</v>
      </c>
      <c r="E50">
        <v>0.26715865906314878</v>
      </c>
    </row>
    <row r="51" spans="1:5" x14ac:dyDescent="0.3">
      <c r="A51" s="3">
        <v>50</v>
      </c>
      <c r="B51">
        <v>7.6399788856506303</v>
      </c>
      <c r="C51">
        <v>8.2383772453696498</v>
      </c>
      <c r="D51">
        <v>-0.59839835971901945</v>
      </c>
      <c r="E51">
        <v>0.35808059691441302</v>
      </c>
    </row>
    <row r="52" spans="1:5" x14ac:dyDescent="0.3">
      <c r="A52" s="3">
        <v>51</v>
      </c>
      <c r="B52">
        <v>6.7047815322875897</v>
      </c>
      <c r="C52">
        <v>6.9392472863150401</v>
      </c>
      <c r="D52">
        <v>-0.2344657540274504</v>
      </c>
      <c r="E52">
        <v>5.4974189811660877E-2</v>
      </c>
    </row>
    <row r="53" spans="1:5" x14ac:dyDescent="0.3">
      <c r="A53" s="3">
        <v>52</v>
      </c>
      <c r="B53">
        <v>6.6180300712585396</v>
      </c>
      <c r="C53">
        <v>7.0644688148154096</v>
      </c>
      <c r="D53">
        <v>-0.44643874355686997</v>
      </c>
      <c r="E53">
        <v>0.19930755174863671</v>
      </c>
    </row>
    <row r="54" spans="1:5" x14ac:dyDescent="0.3">
      <c r="A54" s="3">
        <v>53</v>
      </c>
      <c r="B54">
        <v>9.2274675369262695</v>
      </c>
      <c r="C54">
        <v>9.0906093790034603</v>
      </c>
      <c r="D54">
        <v>0.1368581579228092</v>
      </c>
      <c r="E54">
        <v>1.873015539002458E-2</v>
      </c>
    </row>
    <row r="55" spans="1:5" x14ac:dyDescent="0.3">
      <c r="A55" s="3">
        <v>54</v>
      </c>
      <c r="B55">
        <v>9.0473651885986293</v>
      </c>
      <c r="C55">
        <v>8.8995587996646996</v>
      </c>
      <c r="D55">
        <v>0.14780638893392961</v>
      </c>
      <c r="E55">
        <v>2.184672860968807E-2</v>
      </c>
    </row>
    <row r="56" spans="1:5" x14ac:dyDescent="0.3">
      <c r="A56" s="3">
        <v>55</v>
      </c>
      <c r="B56">
        <v>9.0322580337524396</v>
      </c>
      <c r="C56">
        <v>8.9561368377377892</v>
      </c>
      <c r="D56">
        <v>7.6121196014650394E-2</v>
      </c>
      <c r="E56">
        <v>5.7944364827008273E-3</v>
      </c>
    </row>
    <row r="57" spans="1:5" x14ac:dyDescent="0.3">
      <c r="A57" s="3">
        <v>56</v>
      </c>
      <c r="B57">
        <v>8.3300275802612305</v>
      </c>
      <c r="C57">
        <v>8.2622879129903399</v>
      </c>
      <c r="D57">
        <v>6.7739667270890536E-2</v>
      </c>
      <c r="E57">
        <v>4.5886625219709581E-3</v>
      </c>
    </row>
    <row r="58" spans="1:5" x14ac:dyDescent="0.3">
      <c r="A58" s="3">
        <v>57</v>
      </c>
      <c r="B58">
        <v>7.7166600227355904</v>
      </c>
      <c r="C58">
        <v>8.3626300320548008</v>
      </c>
      <c r="D58">
        <v>-0.64597000931921045</v>
      </c>
      <c r="E58">
        <v>0.41727725293986084</v>
      </c>
    </row>
    <row r="59" spans="1:5" x14ac:dyDescent="0.3">
      <c r="A59" s="3">
        <v>58</v>
      </c>
      <c r="B59">
        <v>8.1345329284667898</v>
      </c>
      <c r="C59">
        <v>8.5371088395263204</v>
      </c>
      <c r="D59">
        <v>-0.40257591105953061</v>
      </c>
      <c r="E59">
        <v>0.16206736416541109</v>
      </c>
    </row>
    <row r="60" spans="1:5" x14ac:dyDescent="0.3">
      <c r="A60" s="3">
        <v>59</v>
      </c>
      <c r="B60">
        <v>8.2979545593261701</v>
      </c>
      <c r="C60">
        <v>8.5445911052031107</v>
      </c>
      <c r="D60">
        <v>-0.24663654587694062</v>
      </c>
      <c r="E60">
        <v>6.0829585762108236E-2</v>
      </c>
    </row>
    <row r="61" spans="1:5" x14ac:dyDescent="0.3">
      <c r="A61" s="3">
        <v>60</v>
      </c>
      <c r="B61">
        <v>6.8325433731079102</v>
      </c>
      <c r="C61">
        <v>6.7236880345467496</v>
      </c>
      <c r="D61">
        <v>0.10885533856116059</v>
      </c>
      <c r="E61">
        <v>1.1849484733264895E-2</v>
      </c>
    </row>
    <row r="62" spans="1:5" x14ac:dyDescent="0.3">
      <c r="A62" s="3">
        <v>61</v>
      </c>
      <c r="B62">
        <v>9.1056251525878906</v>
      </c>
      <c r="C62">
        <v>9.0779479798736595</v>
      </c>
      <c r="D62">
        <v>2.7677172714231091E-2</v>
      </c>
      <c r="E62">
        <v>7.6602588945337796E-4</v>
      </c>
    </row>
    <row r="63" spans="1:5" x14ac:dyDescent="0.3">
      <c r="A63" s="3">
        <v>62</v>
      </c>
      <c r="B63">
        <v>9.0485439300537092</v>
      </c>
      <c r="C63">
        <v>9.0894095299255397</v>
      </c>
      <c r="D63">
        <v>-4.0865599871830582E-2</v>
      </c>
      <c r="E63">
        <v>1.6699972528845598E-3</v>
      </c>
    </row>
    <row r="64" spans="1:5" x14ac:dyDescent="0.3">
      <c r="A64" s="17" t="s">
        <v>16</v>
      </c>
      <c r="B64" s="17"/>
      <c r="C64" s="17"/>
      <c r="D64" s="17"/>
      <c r="E64" s="5">
        <f>AVERAGE(_xlfn.ANCHORARRAY(E2))</f>
        <v>0.14348706836810413</v>
      </c>
    </row>
  </sheetData>
  <mergeCells count="1">
    <mergeCell ref="A64:D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AC18-1EF3-451E-A5FC-42C289D38DF2}">
  <dimension ref="A1:C12"/>
  <sheetViews>
    <sheetView workbookViewId="0">
      <selection activeCell="F7" sqref="F7"/>
    </sheetView>
  </sheetViews>
  <sheetFormatPr defaultRowHeight="14.4" x14ac:dyDescent="0.3"/>
  <cols>
    <col min="1" max="1" width="26.77734375" customWidth="1"/>
    <col min="2" max="2" width="30.21875" customWidth="1"/>
  </cols>
  <sheetData>
    <row r="1" spans="1:3" x14ac:dyDescent="0.3">
      <c r="A1" s="9" t="s">
        <v>0</v>
      </c>
      <c r="B1" s="9" t="s">
        <v>1</v>
      </c>
    </row>
    <row r="2" spans="1:3" x14ac:dyDescent="0.3">
      <c r="A2" s="6" t="s">
        <v>2</v>
      </c>
      <c r="B2" s="10">
        <v>310</v>
      </c>
    </row>
    <row r="3" spans="1:3" x14ac:dyDescent="0.3">
      <c r="A3" s="6" t="s">
        <v>3</v>
      </c>
      <c r="B3" s="10">
        <v>248</v>
      </c>
    </row>
    <row r="4" spans="1:3" x14ac:dyDescent="0.3">
      <c r="A4" s="6" t="s">
        <v>4</v>
      </c>
      <c r="B4" s="10">
        <v>62</v>
      </c>
    </row>
    <row r="5" spans="1:3" x14ac:dyDescent="0.3">
      <c r="A5" s="6" t="s">
        <v>6</v>
      </c>
      <c r="B5" s="10">
        <v>0.32829999999999998</v>
      </c>
    </row>
    <row r="6" spans="1:3" x14ac:dyDescent="0.3">
      <c r="A6" s="6" t="s">
        <v>7</v>
      </c>
      <c r="B6" s="10">
        <v>0.9375</v>
      </c>
    </row>
    <row r="8" spans="1:3" x14ac:dyDescent="0.3">
      <c r="A8" s="17" t="s">
        <v>18</v>
      </c>
      <c r="B8" s="17"/>
      <c r="C8" s="17"/>
    </row>
    <row r="9" spans="1:3" x14ac:dyDescent="0.3">
      <c r="A9" s="7" t="s">
        <v>19</v>
      </c>
      <c r="B9">
        <v>988.27</v>
      </c>
    </row>
    <row r="10" spans="1:3" x14ac:dyDescent="0.3">
      <c r="A10" s="7" t="s">
        <v>20</v>
      </c>
      <c r="B10">
        <v>12.629</v>
      </c>
    </row>
    <row r="11" spans="1:3" x14ac:dyDescent="0.3">
      <c r="A11" s="7" t="s">
        <v>21</v>
      </c>
      <c r="B11">
        <v>1.3891000000000001E-2</v>
      </c>
    </row>
    <row r="12" spans="1:3" x14ac:dyDescent="0.3">
      <c r="A12" s="7" t="s">
        <v>22</v>
      </c>
      <c r="B12" s="8" t="b">
        <v>0</v>
      </c>
    </row>
  </sheetData>
  <mergeCells count="1"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003C-31F2-4E91-81CA-F0CBBE0F8014}">
  <dimension ref="A1:E64"/>
  <sheetViews>
    <sheetView workbookViewId="0">
      <selection activeCell="G58" sqref="G58"/>
    </sheetView>
  </sheetViews>
  <sheetFormatPr defaultRowHeight="14.4" x14ac:dyDescent="0.3"/>
  <sheetData>
    <row r="1" spans="1:5" ht="28.8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15</v>
      </c>
    </row>
    <row r="2" spans="1:5" x14ac:dyDescent="0.3">
      <c r="A2">
        <v>1</v>
      </c>
      <c r="B2" s="3">
        <v>4.71508359909057</v>
      </c>
      <c r="C2">
        <v>5.3008025597991697</v>
      </c>
      <c r="D2" cm="1">
        <f t="array" ref="D2:D63">B2:B63-C2:C63</f>
        <v>-0.58571896070859975</v>
      </c>
      <c r="E2" cm="1">
        <f t="array" ref="E2:E63">POWER((D2:D63),2)</f>
        <v>0.34306670093356223</v>
      </c>
    </row>
    <row r="3" spans="1:5" x14ac:dyDescent="0.3">
      <c r="A3">
        <v>2</v>
      </c>
      <c r="B3" s="3">
        <v>5.7294993400573704</v>
      </c>
      <c r="C3">
        <v>6.2370979814592404</v>
      </c>
      <c r="D3">
        <v>-0.50759864140187005</v>
      </c>
      <c r="E3">
        <v>0.25765638075302427</v>
      </c>
    </row>
    <row r="4" spans="1:5" x14ac:dyDescent="0.3">
      <c r="A4">
        <v>3</v>
      </c>
      <c r="B4" s="3">
        <v>5.2365589141845703</v>
      </c>
      <c r="C4">
        <v>5.4029587702283699</v>
      </c>
      <c r="D4">
        <v>-0.16639985604379959</v>
      </c>
      <c r="E4">
        <v>2.7688912091397226E-2</v>
      </c>
    </row>
    <row r="5" spans="1:5" x14ac:dyDescent="0.3">
      <c r="A5">
        <v>4</v>
      </c>
      <c r="B5">
        <v>5.4739084243774396</v>
      </c>
      <c r="C5">
        <v>5.7110015130366198</v>
      </c>
      <c r="D5">
        <v>-0.23709308865918022</v>
      </c>
      <c r="E5">
        <v>5.6213132689949888E-2</v>
      </c>
    </row>
    <row r="6" spans="1:5" x14ac:dyDescent="0.3">
      <c r="A6">
        <v>5</v>
      </c>
      <c r="B6">
        <v>5.3846154212951598</v>
      </c>
      <c r="C6">
        <v>5.4565073951032703</v>
      </c>
      <c r="D6">
        <v>-7.1891973808110521E-2</v>
      </c>
      <c r="E6">
        <v>5.1684558980260491E-3</v>
      </c>
    </row>
    <row r="7" spans="1:5" x14ac:dyDescent="0.3">
      <c r="A7">
        <v>6</v>
      </c>
      <c r="B7">
        <v>5.5472102165222097</v>
      </c>
      <c r="C7">
        <v>5.5568739687903097</v>
      </c>
      <c r="D7">
        <v>-9.6637522681000121E-3</v>
      </c>
      <c r="E7">
        <v>9.3388107899208131E-5</v>
      </c>
    </row>
    <row r="8" spans="1:5" x14ac:dyDescent="0.3">
      <c r="A8">
        <v>7</v>
      </c>
      <c r="B8">
        <v>5.28161525726318</v>
      </c>
      <c r="C8">
        <v>5.5709880431868699</v>
      </c>
      <c r="D8">
        <v>-0.28937278592368987</v>
      </c>
      <c r="E8">
        <v>8.3736609233237641E-2</v>
      </c>
    </row>
    <row r="9" spans="1:5" x14ac:dyDescent="0.3">
      <c r="A9">
        <v>8</v>
      </c>
      <c r="B9">
        <v>4.7582416534423801</v>
      </c>
      <c r="C9">
        <v>4.5995286601837204</v>
      </c>
      <c r="D9">
        <v>0.15871299325865973</v>
      </c>
      <c r="E9">
        <v>2.5189814229123367E-2</v>
      </c>
    </row>
    <row r="10" spans="1:5" x14ac:dyDescent="0.3">
      <c r="A10">
        <v>9</v>
      </c>
      <c r="B10">
        <v>4.8527808189392001</v>
      </c>
      <c r="C10">
        <v>4.9685764193904696</v>
      </c>
      <c r="D10">
        <v>-0.11579560045126946</v>
      </c>
      <c r="E10">
        <v>1.3408621083870037E-2</v>
      </c>
    </row>
    <row r="11" spans="1:5" x14ac:dyDescent="0.3">
      <c r="A11">
        <v>10</v>
      </c>
      <c r="B11">
        <v>4.89640140533447</v>
      </c>
      <c r="C11">
        <v>5.0959571067460301</v>
      </c>
      <c r="D11">
        <v>-0.19955570141156009</v>
      </c>
      <c r="E11">
        <v>3.9822477965859727E-2</v>
      </c>
    </row>
    <row r="12" spans="1:5" x14ac:dyDescent="0.3">
      <c r="A12">
        <v>11</v>
      </c>
      <c r="B12">
        <v>4.8903508186340297</v>
      </c>
      <c r="C12">
        <v>4.9673494028913598</v>
      </c>
      <c r="D12">
        <v>-7.6998584257330194E-2</v>
      </c>
      <c r="E12">
        <v>5.9287819776331768E-3</v>
      </c>
    </row>
    <row r="13" spans="1:5" x14ac:dyDescent="0.3">
      <c r="A13">
        <v>12</v>
      </c>
      <c r="B13">
        <v>6.0281386375427202</v>
      </c>
      <c r="C13">
        <v>6.1439358515890801</v>
      </c>
      <c r="D13">
        <v>-0.1157972140463599</v>
      </c>
      <c r="E13">
        <v>1.340899478089849E-2</v>
      </c>
    </row>
    <row r="14" spans="1:5" x14ac:dyDescent="0.3">
      <c r="A14">
        <v>13</v>
      </c>
      <c r="B14">
        <v>6.0765027999877903</v>
      </c>
      <c r="C14">
        <v>5.9827664246727998</v>
      </c>
      <c r="D14">
        <v>9.3736375314990461E-2</v>
      </c>
      <c r="E14">
        <v>8.7865080571927524E-3</v>
      </c>
    </row>
    <row r="15" spans="1:5" x14ac:dyDescent="0.3">
      <c r="A15">
        <v>14</v>
      </c>
      <c r="B15">
        <v>6.0434784889221103</v>
      </c>
      <c r="C15">
        <v>6.1443009678236304</v>
      </c>
      <c r="D15">
        <v>-0.10082247890152018</v>
      </c>
      <c r="E15">
        <v>1.0165172251847482E-2</v>
      </c>
    </row>
    <row r="16" spans="1:5" x14ac:dyDescent="0.3">
      <c r="A16">
        <v>15</v>
      </c>
      <c r="B16">
        <v>6.1363635063171298</v>
      </c>
      <c r="C16">
        <v>6.0421877932115304</v>
      </c>
      <c r="D16">
        <v>9.4175713105599357E-2</v>
      </c>
      <c r="E16">
        <v>8.8690649389481582E-3</v>
      </c>
    </row>
    <row r="17" spans="1:5" x14ac:dyDescent="0.3">
      <c r="A17">
        <v>16</v>
      </c>
      <c r="B17">
        <v>8.0824089050292898</v>
      </c>
      <c r="C17">
        <v>7.9751609905730199</v>
      </c>
      <c r="D17">
        <v>0.10724791445626991</v>
      </c>
      <c r="E17">
        <v>1.1502115155219388E-2</v>
      </c>
    </row>
    <row r="18" spans="1:5" x14ac:dyDescent="0.3">
      <c r="A18">
        <v>17</v>
      </c>
      <c r="B18">
        <v>8.4067249298095703</v>
      </c>
      <c r="C18">
        <v>8.1352812765594305</v>
      </c>
      <c r="D18">
        <v>0.27144365325013986</v>
      </c>
      <c r="E18">
        <v>7.3681656889782163E-2</v>
      </c>
    </row>
    <row r="19" spans="1:5" x14ac:dyDescent="0.3">
      <c r="A19">
        <v>18</v>
      </c>
      <c r="B19">
        <v>7.3692550659179599</v>
      </c>
      <c r="C19">
        <v>7.6109112133494499</v>
      </c>
      <c r="D19">
        <v>-0.24165614743149</v>
      </c>
      <c r="E19">
        <v>5.839769359143003E-2</v>
      </c>
    </row>
    <row r="20" spans="1:5" x14ac:dyDescent="0.3">
      <c r="A20">
        <v>19</v>
      </c>
      <c r="B20">
        <v>8.2474222183227504</v>
      </c>
      <c r="C20">
        <v>8.6035501676434194</v>
      </c>
      <c r="D20">
        <v>-0.35612794932066905</v>
      </c>
      <c r="E20">
        <v>0.12682711628734503</v>
      </c>
    </row>
    <row r="21" spans="1:5" x14ac:dyDescent="0.3">
      <c r="A21">
        <v>20</v>
      </c>
      <c r="B21">
        <v>7.9428119659423801</v>
      </c>
      <c r="C21">
        <v>7.62983110485479</v>
      </c>
      <c r="D21">
        <v>0.31298086108759016</v>
      </c>
      <c r="E21">
        <v>9.7957019407129406E-2</v>
      </c>
    </row>
    <row r="22" spans="1:5" x14ac:dyDescent="0.3">
      <c r="A22">
        <v>21</v>
      </c>
      <c r="B22">
        <v>8.1016683578491193</v>
      </c>
      <c r="C22">
        <v>7.36657758143346</v>
      </c>
      <c r="D22">
        <v>0.73509077641565934</v>
      </c>
      <c r="E22">
        <v>0.54035844957137691</v>
      </c>
    </row>
    <row r="23" spans="1:5" x14ac:dyDescent="0.3">
      <c r="A23">
        <v>22</v>
      </c>
      <c r="B23">
        <v>7.36342048645019</v>
      </c>
      <c r="C23">
        <v>7.3347592869855296</v>
      </c>
      <c r="D23">
        <v>2.8661199464660392E-2</v>
      </c>
      <c r="E23">
        <v>8.2146435475304914E-4</v>
      </c>
    </row>
    <row r="24" spans="1:5" x14ac:dyDescent="0.3">
      <c r="A24">
        <v>23</v>
      </c>
      <c r="B24">
        <v>7.7464790344238201</v>
      </c>
      <c r="C24">
        <v>7.8226932615607199</v>
      </c>
      <c r="D24">
        <v>-7.6214227136899737E-2</v>
      </c>
      <c r="E24">
        <v>5.8086084180749443E-3</v>
      </c>
    </row>
    <row r="25" spans="1:5" x14ac:dyDescent="0.3">
      <c r="A25">
        <v>24</v>
      </c>
      <c r="B25">
        <v>7.8461537361145002</v>
      </c>
      <c r="C25">
        <v>7.7087348521510801</v>
      </c>
      <c r="D25">
        <v>0.13741888396342006</v>
      </c>
      <c r="E25">
        <v>1.8883949669751907E-2</v>
      </c>
    </row>
    <row r="26" spans="1:5" x14ac:dyDescent="0.3">
      <c r="A26">
        <v>25</v>
      </c>
      <c r="B26">
        <v>8.0336647033691406</v>
      </c>
      <c r="C26">
        <v>7.7968019015796397</v>
      </c>
      <c r="D26">
        <v>0.23686280178950092</v>
      </c>
      <c r="E26">
        <v>5.6103986871572399E-2</v>
      </c>
    </row>
    <row r="27" spans="1:5" x14ac:dyDescent="0.3">
      <c r="A27">
        <v>26</v>
      </c>
      <c r="B27">
        <v>8.1018514633178693</v>
      </c>
      <c r="C27">
        <v>7.6233805727018504</v>
      </c>
      <c r="D27">
        <v>0.47847089061601888</v>
      </c>
      <c r="E27">
        <v>0.2289343931668863</v>
      </c>
    </row>
    <row r="28" spans="1:5" x14ac:dyDescent="0.3">
      <c r="A28">
        <v>27</v>
      </c>
      <c r="B28">
        <v>7.9131107330322203</v>
      </c>
      <c r="C28">
        <v>7.8440526986966903</v>
      </c>
      <c r="D28">
        <v>6.9058034335530039E-2</v>
      </c>
      <c r="E28">
        <v>4.7690121062872459E-3</v>
      </c>
    </row>
    <row r="29" spans="1:5" x14ac:dyDescent="0.3">
      <c r="A29">
        <v>28</v>
      </c>
      <c r="B29">
        <v>8.0933847427368093</v>
      </c>
      <c r="C29">
        <v>8.2085175534883508</v>
      </c>
      <c r="D29">
        <v>-0.11513281075154147</v>
      </c>
      <c r="E29">
        <v>1.3255564111550263E-2</v>
      </c>
    </row>
    <row r="30" spans="1:5" x14ac:dyDescent="0.3">
      <c r="A30">
        <v>29</v>
      </c>
      <c r="B30">
        <v>7.9192547798156703</v>
      </c>
      <c r="C30">
        <v>8.1905715630799403</v>
      </c>
      <c r="D30">
        <v>-0.27131678326427</v>
      </c>
      <c r="E30">
        <v>7.3612796880870857E-2</v>
      </c>
    </row>
    <row r="31" spans="1:5" x14ac:dyDescent="0.3">
      <c r="A31">
        <v>30</v>
      </c>
      <c r="B31">
        <v>8.0956048965454102</v>
      </c>
      <c r="C31">
        <v>8.0608197844409002</v>
      </c>
      <c r="D31">
        <v>3.4785112104509963E-2</v>
      </c>
      <c r="E31">
        <v>1.2100040241233255E-3</v>
      </c>
    </row>
    <row r="32" spans="1:5" x14ac:dyDescent="0.3">
      <c r="A32">
        <v>31</v>
      </c>
      <c r="B32">
        <v>8.0398159027099592</v>
      </c>
      <c r="C32">
        <v>8.1916235219515308</v>
      </c>
      <c r="D32">
        <v>-0.1518076192415716</v>
      </c>
      <c r="E32">
        <v>2.3045553259793981E-2</v>
      </c>
    </row>
    <row r="33" spans="1:5" x14ac:dyDescent="0.3">
      <c r="A33">
        <v>32</v>
      </c>
      <c r="B33">
        <v>6.6562256813049299</v>
      </c>
      <c r="C33">
        <v>6.8188127342990299</v>
      </c>
      <c r="D33">
        <v>-0.16258705299410003</v>
      </c>
      <c r="E33">
        <v>2.6434549801306294E-2</v>
      </c>
    </row>
    <row r="34" spans="1:5" x14ac:dyDescent="0.3">
      <c r="A34">
        <v>33</v>
      </c>
      <c r="B34">
        <v>6.8021893501281703</v>
      </c>
      <c r="C34">
        <v>7.0309556849601602</v>
      </c>
      <c r="D34">
        <v>-0.22876633483198994</v>
      </c>
      <c r="E34">
        <v>5.2334035952462131E-2</v>
      </c>
    </row>
    <row r="35" spans="1:5" x14ac:dyDescent="0.3">
      <c r="A35">
        <v>34</v>
      </c>
      <c r="B35">
        <v>6.7524113655090297</v>
      </c>
      <c r="C35">
        <v>7.0848127613746499</v>
      </c>
      <c r="D35">
        <v>-0.33240139586562023</v>
      </c>
      <c r="E35">
        <v>0.11049068797341277</v>
      </c>
    </row>
    <row r="36" spans="1:5" x14ac:dyDescent="0.3">
      <c r="A36">
        <v>35</v>
      </c>
      <c r="B36">
        <v>6.8237204551696697</v>
      </c>
      <c r="C36">
        <v>7.1746336351076003</v>
      </c>
      <c r="D36">
        <v>-0.35091317993793059</v>
      </c>
      <c r="E36">
        <v>0.12314005985415045</v>
      </c>
    </row>
    <row r="37" spans="1:5" x14ac:dyDescent="0.3">
      <c r="A37">
        <v>36</v>
      </c>
      <c r="B37">
        <v>8.59437751770019</v>
      </c>
      <c r="C37">
        <v>8.2398405120203204</v>
      </c>
      <c r="D37">
        <v>0.35453700567986957</v>
      </c>
      <c r="E37">
        <v>0.12569648839644787</v>
      </c>
    </row>
    <row r="38" spans="1:5" x14ac:dyDescent="0.3">
      <c r="A38">
        <v>37</v>
      </c>
      <c r="B38">
        <v>8.4814214706420898</v>
      </c>
      <c r="C38">
        <v>8.2820269172283094</v>
      </c>
      <c r="D38">
        <v>0.19939455341378043</v>
      </c>
      <c r="E38">
        <v>3.9758187931080935E-2</v>
      </c>
    </row>
    <row r="39" spans="1:5" x14ac:dyDescent="0.3">
      <c r="A39">
        <v>38</v>
      </c>
      <c r="B39">
        <v>9.7861843109130806</v>
      </c>
      <c r="C39">
        <v>8.7908568232041695</v>
      </c>
      <c r="D39">
        <v>0.99532748770891111</v>
      </c>
      <c r="E39">
        <v>0.99067680778893263</v>
      </c>
    </row>
    <row r="40" spans="1:5" x14ac:dyDescent="0.3">
      <c r="A40">
        <v>39</v>
      </c>
      <c r="B40">
        <v>9.10505867004394</v>
      </c>
      <c r="C40">
        <v>9.0526243926234198</v>
      </c>
      <c r="D40">
        <v>5.2434277420520203E-2</v>
      </c>
      <c r="E40">
        <v>2.749353448612075E-3</v>
      </c>
    </row>
    <row r="41" spans="1:5" x14ac:dyDescent="0.3">
      <c r="A41">
        <v>40</v>
      </c>
      <c r="B41">
        <v>9.0982284545898402</v>
      </c>
      <c r="C41">
        <v>8.5584010662877006</v>
      </c>
      <c r="D41">
        <v>0.53982738830213961</v>
      </c>
      <c r="E41">
        <v>0.29141360916110903</v>
      </c>
    </row>
    <row r="42" spans="1:5" x14ac:dyDescent="0.3">
      <c r="A42">
        <v>41</v>
      </c>
      <c r="B42">
        <v>8.0897703170776296</v>
      </c>
      <c r="C42">
        <v>7.4070934700998503</v>
      </c>
      <c r="D42">
        <v>0.68267684697777931</v>
      </c>
      <c r="E42">
        <v>0.4660476773995223</v>
      </c>
    </row>
    <row r="43" spans="1:5" x14ac:dyDescent="0.3">
      <c r="A43">
        <v>42</v>
      </c>
      <c r="B43">
        <v>6.9296374320983798</v>
      </c>
      <c r="C43">
        <v>6.8629896621900199</v>
      </c>
      <c r="D43">
        <v>6.6647769908359855E-2</v>
      </c>
      <c r="E43">
        <v>4.4419252337576775E-3</v>
      </c>
    </row>
    <row r="44" spans="1:5" x14ac:dyDescent="0.3">
      <c r="A44">
        <v>43</v>
      </c>
      <c r="B44">
        <v>8.0041580200195295</v>
      </c>
      <c r="C44">
        <v>7.2400997726715302</v>
      </c>
      <c r="D44">
        <v>0.76405824734799932</v>
      </c>
      <c r="E44">
        <v>0.58378500534049649</v>
      </c>
    </row>
    <row r="45" spans="1:5" x14ac:dyDescent="0.3">
      <c r="A45">
        <v>44</v>
      </c>
      <c r="B45">
        <v>8.2858619689941406</v>
      </c>
      <c r="C45">
        <v>8.1159011869507101</v>
      </c>
      <c r="D45">
        <v>0.16996078204343057</v>
      </c>
      <c r="E45">
        <v>2.8886667432814511E-2</v>
      </c>
    </row>
    <row r="46" spans="1:5" x14ac:dyDescent="0.3">
      <c r="A46">
        <v>45</v>
      </c>
      <c r="B46">
        <v>8.0813350677490199</v>
      </c>
      <c r="C46">
        <v>8.3639222237585198</v>
      </c>
      <c r="D46">
        <v>-0.28258715600949991</v>
      </c>
      <c r="E46">
        <v>7.9855500741537438E-2</v>
      </c>
    </row>
    <row r="47" spans="1:5" x14ac:dyDescent="0.3">
      <c r="A47">
        <v>46</v>
      </c>
      <c r="B47">
        <v>8.0501832962036097</v>
      </c>
      <c r="C47">
        <v>8.0275945579859105</v>
      </c>
      <c r="D47">
        <v>2.2588738217699245E-2</v>
      </c>
      <c r="E47">
        <v>5.1025109426774647E-4</v>
      </c>
    </row>
    <row r="48" spans="1:5" x14ac:dyDescent="0.3">
      <c r="A48">
        <v>47</v>
      </c>
      <c r="B48">
        <v>8.0104713439941406</v>
      </c>
      <c r="C48">
        <v>7.8982908061419401</v>
      </c>
      <c r="D48">
        <v>0.1121805378522005</v>
      </c>
      <c r="E48">
        <v>1.258447307280899E-2</v>
      </c>
    </row>
    <row r="49" spans="1:5" x14ac:dyDescent="0.3">
      <c r="A49">
        <v>48</v>
      </c>
      <c r="B49">
        <v>7.7523412704467702</v>
      </c>
      <c r="C49">
        <v>7.6500383741805296</v>
      </c>
      <c r="D49">
        <v>0.10230289626624067</v>
      </c>
      <c r="E49">
        <v>1.0465882584461199E-2</v>
      </c>
    </row>
    <row r="50" spans="1:5" x14ac:dyDescent="0.3">
      <c r="A50">
        <v>49</v>
      </c>
      <c r="B50">
        <v>8.0062789916992099</v>
      </c>
      <c r="C50">
        <v>8.3530878479948303</v>
      </c>
      <c r="D50">
        <v>-0.34680885629562042</v>
      </c>
      <c r="E50">
        <v>0.1202763828050763</v>
      </c>
    </row>
    <row r="51" spans="1:5" x14ac:dyDescent="0.3">
      <c r="A51">
        <v>50</v>
      </c>
      <c r="B51">
        <v>7.6399788856506303</v>
      </c>
      <c r="C51">
        <v>8.1765560798178001</v>
      </c>
      <c r="D51">
        <v>-0.53657719416716976</v>
      </c>
      <c r="E51">
        <v>0.28791508530031257</v>
      </c>
    </row>
    <row r="52" spans="1:5" x14ac:dyDescent="0.3">
      <c r="A52">
        <v>51</v>
      </c>
      <c r="B52">
        <v>6.7047815322875897</v>
      </c>
      <c r="C52">
        <v>6.7109649212154396</v>
      </c>
      <c r="D52">
        <v>-6.1833889278499754E-3</v>
      </c>
      <c r="E52">
        <v>3.8234298633057668E-5</v>
      </c>
    </row>
    <row r="53" spans="1:5" x14ac:dyDescent="0.3">
      <c r="A53">
        <v>52</v>
      </c>
      <c r="B53">
        <v>6.6180300712585396</v>
      </c>
      <c r="C53">
        <v>6.8866020834992403</v>
      </c>
      <c r="D53">
        <v>-0.26857201224070071</v>
      </c>
      <c r="E53">
        <v>7.2130925759019096E-2</v>
      </c>
    </row>
    <row r="54" spans="1:5" x14ac:dyDescent="0.3">
      <c r="A54">
        <v>53</v>
      </c>
      <c r="B54">
        <v>9.2274675369262695</v>
      </c>
      <c r="C54">
        <v>9.24121628982701</v>
      </c>
      <c r="D54">
        <v>-1.3748752900740513E-2</v>
      </c>
      <c r="E54">
        <v>1.8902820632562067E-4</v>
      </c>
    </row>
    <row r="55" spans="1:5" x14ac:dyDescent="0.3">
      <c r="A55">
        <v>54</v>
      </c>
      <c r="B55">
        <v>9.0473651885986293</v>
      </c>
      <c r="C55">
        <v>8.9450238711262706</v>
      </c>
      <c r="D55">
        <v>0.10234131747235864</v>
      </c>
      <c r="E55">
        <v>1.04737452619781E-2</v>
      </c>
    </row>
    <row r="56" spans="1:5" x14ac:dyDescent="0.3">
      <c r="A56">
        <v>55</v>
      </c>
      <c r="B56">
        <v>9.0322580337524396</v>
      </c>
      <c r="C56">
        <v>9.0682716331419098</v>
      </c>
      <c r="D56">
        <v>-3.601359938947013E-2</v>
      </c>
      <c r="E56">
        <v>1.2969793409852433E-3</v>
      </c>
    </row>
    <row r="57" spans="1:5" x14ac:dyDescent="0.3">
      <c r="A57">
        <v>56</v>
      </c>
      <c r="B57">
        <v>8.3300275802612305</v>
      </c>
      <c r="C57">
        <v>8.0853146905144104</v>
      </c>
      <c r="D57">
        <v>0.24471288974682004</v>
      </c>
      <c r="E57">
        <v>5.9884398408239302E-2</v>
      </c>
    </row>
    <row r="58" spans="1:5" x14ac:dyDescent="0.3">
      <c r="A58">
        <v>57</v>
      </c>
      <c r="B58">
        <v>7.7166600227355904</v>
      </c>
      <c r="C58">
        <v>8.5985137310141795</v>
      </c>
      <c r="D58">
        <v>-0.88185370827858911</v>
      </c>
      <c r="E58">
        <v>0.77766596280469891</v>
      </c>
    </row>
    <row r="59" spans="1:5" x14ac:dyDescent="0.3">
      <c r="A59">
        <v>58</v>
      </c>
      <c r="B59">
        <v>8.1345329284667898</v>
      </c>
      <c r="C59">
        <v>8.3876975571686501</v>
      </c>
      <c r="D59">
        <v>-0.25316462870186029</v>
      </c>
      <c r="E59">
        <v>6.4092329225750783E-2</v>
      </c>
    </row>
    <row r="60" spans="1:5" x14ac:dyDescent="0.3">
      <c r="A60">
        <v>59</v>
      </c>
      <c r="B60">
        <v>8.2979545593261701</v>
      </c>
      <c r="C60">
        <v>8.5637926999812901</v>
      </c>
      <c r="D60">
        <v>-0.26583814065512001</v>
      </c>
      <c r="E60">
        <v>7.0669917026971368E-2</v>
      </c>
    </row>
    <row r="61" spans="1:5" x14ac:dyDescent="0.3">
      <c r="A61">
        <v>60</v>
      </c>
      <c r="B61">
        <v>6.8325433731079102</v>
      </c>
      <c r="C61">
        <v>6.9755057925131299</v>
      </c>
      <c r="D61">
        <v>-0.1429624194052197</v>
      </c>
      <c r="E61">
        <v>2.0438253362193938E-2</v>
      </c>
    </row>
    <row r="62" spans="1:5" x14ac:dyDescent="0.3">
      <c r="A62">
        <v>61</v>
      </c>
      <c r="B62">
        <v>9.1056251525878906</v>
      </c>
      <c r="C62">
        <v>9.0105929126305693</v>
      </c>
      <c r="D62">
        <v>9.5032239957321352E-2</v>
      </c>
      <c r="E62">
        <v>9.0311266313059056E-3</v>
      </c>
    </row>
    <row r="63" spans="1:5" x14ac:dyDescent="0.3">
      <c r="A63">
        <v>62</v>
      </c>
      <c r="B63">
        <v>9.0485439300537092</v>
      </c>
      <c r="C63">
        <v>9.1197970898920797</v>
      </c>
      <c r="D63">
        <v>-7.125315983837055E-2</v>
      </c>
      <c r="E63">
        <v>5.0770127869523823E-3</v>
      </c>
    </row>
    <row r="64" spans="1:5" x14ac:dyDescent="0.3">
      <c r="A64" s="17" t="s">
        <v>17</v>
      </c>
      <c r="B64" s="17"/>
      <c r="C64" s="17"/>
      <c r="D64" s="17"/>
      <c r="E64" s="5">
        <f>AVERAGE(_xlfn.ANCHORARRAY(E2))</f>
        <v>0.10778746682554903</v>
      </c>
    </row>
  </sheetData>
  <mergeCells count="1">
    <mergeCell ref="A64:D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10E5-EE43-43E7-9A7A-7114E6F67C79}">
  <dimension ref="A1:K4"/>
  <sheetViews>
    <sheetView tabSelected="1" zoomScale="93" workbookViewId="0">
      <selection activeCell="J16" sqref="J16"/>
    </sheetView>
  </sheetViews>
  <sheetFormatPr defaultColWidth="11.77734375" defaultRowHeight="14.4" x14ac:dyDescent="0.3"/>
  <cols>
    <col min="1" max="1" width="18.77734375" customWidth="1"/>
    <col min="2" max="2" width="12.88671875" customWidth="1"/>
    <col min="3" max="3" width="12.21875" customWidth="1"/>
  </cols>
  <sheetData>
    <row r="1" spans="1:11" x14ac:dyDescent="0.3">
      <c r="A1" s="13" t="s">
        <v>12</v>
      </c>
      <c r="B1" s="11" t="s">
        <v>13</v>
      </c>
      <c r="C1" s="11" t="s">
        <v>14</v>
      </c>
      <c r="D1" s="14" t="s">
        <v>23</v>
      </c>
      <c r="E1" s="14" t="s">
        <v>24</v>
      </c>
      <c r="F1" s="14" t="s">
        <v>25</v>
      </c>
      <c r="G1" s="15" t="s">
        <v>26</v>
      </c>
      <c r="H1" s="14" t="s">
        <v>27</v>
      </c>
      <c r="I1" s="14" t="s">
        <v>27</v>
      </c>
      <c r="J1" s="14" t="s">
        <v>28</v>
      </c>
      <c r="K1" s="14" t="s">
        <v>29</v>
      </c>
    </row>
    <row r="2" spans="1:11" ht="45.6" customHeight="1" x14ac:dyDescent="0.3">
      <c r="A2" s="16" t="s">
        <v>6</v>
      </c>
      <c r="B2" s="16">
        <v>0.37880000000000003</v>
      </c>
      <c r="C2" s="12">
        <v>0.32829999999999998</v>
      </c>
      <c r="D2" s="14">
        <v>0.36580000000000001</v>
      </c>
      <c r="E2" s="14">
        <v>0.30680000000000002</v>
      </c>
      <c r="F2" s="14">
        <v>0.36199999999999999</v>
      </c>
      <c r="G2" s="15">
        <v>0.30070000000000002</v>
      </c>
      <c r="H2" s="14">
        <v>0.38150000000000001</v>
      </c>
      <c r="I2" s="14">
        <v>0.38440000000000002</v>
      </c>
      <c r="J2" s="14">
        <v>0.36549999999999999</v>
      </c>
      <c r="K2" s="14">
        <v>0.22839999999999999</v>
      </c>
    </row>
    <row r="3" spans="1:11" ht="48" customHeight="1" x14ac:dyDescent="0.3">
      <c r="A3" s="16" t="s">
        <v>7</v>
      </c>
      <c r="B3" s="16">
        <v>0.91690000000000005</v>
      </c>
      <c r="C3" s="12">
        <v>0.9375</v>
      </c>
      <c r="D3" s="14">
        <v>0.92249999999999999</v>
      </c>
      <c r="E3" s="14">
        <v>0.94550000000000001</v>
      </c>
      <c r="F3" s="14">
        <v>0.92410000000000003</v>
      </c>
      <c r="G3" s="15">
        <v>0.9476</v>
      </c>
      <c r="H3" s="14">
        <v>0.91569999999999996</v>
      </c>
      <c r="I3" s="14">
        <v>0.91439999999999999</v>
      </c>
      <c r="J3" s="14">
        <v>0.92259999999999998</v>
      </c>
      <c r="K3" s="14">
        <v>0.9698</v>
      </c>
    </row>
    <row r="4" spans="1:11" ht="76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PLS Results</vt:lpstr>
      <vt:lpstr>PLS Predictions</vt:lpstr>
      <vt:lpstr>SVR Results</vt:lpstr>
      <vt:lpstr>SVR Predictions</vt:lpstr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Rishikesh (PG/T - Chemistry &amp; Chem Eng)</dc:creator>
  <cp:lastModifiedBy>Prasad, Rishikesh (PG/T - Chemistry &amp; Chem Eng)</cp:lastModifiedBy>
  <dcterms:created xsi:type="dcterms:W3CDTF">2026-07-18T23:37:21Z</dcterms:created>
  <dcterms:modified xsi:type="dcterms:W3CDTF">2026-08-20T13:33:21Z</dcterms:modified>
</cp:coreProperties>
</file>